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valgroupco-my.sharepoint.com/personal/ismael_nascimento_valgroupco_com/Documents/Scripts/git/rpa_Expedicao/downloads_entreposto/"/>
    </mc:Choice>
  </mc:AlternateContent>
  <xr:revisionPtr revIDLastSave="1744" documentId="6_{82624FF5-DFA0-4395-A507-F9C07522E111}" xr6:coauthVersionLast="47" xr6:coauthVersionMax="47" xr10:uidLastSave="{09892176-51C0-418B-A3DB-AE25B10E1C5C}"/>
  <bookViews>
    <workbookView xWindow="-120" yWindow="-120" windowWidth="20730" windowHeight="11040" tabRatio="580" activeTab="1" xr2:uid="{63A6A7B1-B1E6-4E31-866B-19BCC5A5923A}"/>
  </bookViews>
  <sheets>
    <sheet name="Ficha de carga" sheetId="1" r:id="rId1"/>
    <sheet name="Dados da carga" sheetId="2" r:id="rId2"/>
    <sheet name="Base" sheetId="3" r:id="rId3"/>
  </sheets>
  <definedNames>
    <definedName name="_xlnm._FilterDatabase" localSheetId="0" hidden="1">'Ficha de carga'!$D$2:$P$33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D3" i="1" a="1"/>
  <c r="R33" i="1"/>
  <c r="S33" i="1"/>
  <c r="T33" i="1"/>
  <c r="U33" i="1"/>
  <c r="W33" i="1"/>
  <c r="R34" i="1"/>
  <c r="S34" i="1"/>
  <c r="T34" i="1"/>
  <c r="U34" i="1"/>
  <c r="B2" i="1"/>
  <c r="B3" i="1"/>
  <c r="B4" i="1"/>
  <c r="B5" i="1"/>
  <c r="D36" i="1"/>
  <c r="D3" i="1"/>
  <c r="S28" i="1"/>
  <c r="S30" i="1"/>
  <c r="W31" i="1"/>
  <c r="U31" i="1"/>
  <c r="R30" i="1"/>
  <c r="R28" i="1"/>
  <c r="U32" i="1"/>
  <c r="R31" i="1"/>
  <c r="S29" i="1"/>
  <c r="S27" i="1"/>
  <c r="T31" i="1"/>
  <c r="U29" i="1"/>
  <c r="U27" i="1"/>
  <c r="S31" i="1"/>
  <c r="T29" i="1"/>
  <c r="T27" i="1"/>
  <c r="T32" i="1"/>
  <c r="W30" i="1"/>
  <c r="R29" i="1"/>
  <c r="R27" i="1"/>
  <c r="S32" i="1"/>
  <c r="U30" i="1"/>
  <c r="U28" i="1"/>
  <c r="W27" i="1"/>
  <c r="R32" i="1"/>
  <c r="T30" i="1"/>
  <c r="T28" i="1"/>
  <c r="T26" i="1"/>
  <c r="U26" i="1"/>
  <c r="S26" i="1"/>
  <c r="R26" i="1"/>
  <c r="U24" i="1"/>
  <c r="S22" i="1"/>
  <c r="R22" i="1"/>
  <c r="T24" i="1"/>
  <c r="U22" i="1"/>
  <c r="S24" i="1"/>
  <c r="T22" i="1"/>
  <c r="W25" i="1"/>
  <c r="R24" i="1"/>
  <c r="U25" i="1"/>
  <c r="U23" i="1"/>
  <c r="T25" i="1"/>
  <c r="T23" i="1"/>
  <c r="S25" i="1"/>
  <c r="S23" i="1"/>
  <c r="R23" i="1"/>
  <c r="R25" i="1"/>
  <c r="W22" i="1"/>
  <c r="W28" i="1"/>
  <c r="W23" i="1"/>
  <c r="W34" i="1"/>
  <c r="W26" i="1"/>
  <c r="W29" i="1"/>
  <c r="W32" i="1"/>
  <c r="W24" i="1"/>
  <c r="S20" i="1"/>
  <c r="U21" i="1"/>
  <c r="R20" i="1"/>
  <c r="U20" i="1"/>
  <c r="T20" i="1"/>
  <c r="T21" i="1"/>
  <c r="W21" i="1"/>
  <c r="S21" i="1"/>
  <c r="R21" i="1"/>
  <c r="W20" i="1"/>
  <c r="W18" i="1"/>
  <c r="S17" i="1"/>
  <c r="U15" i="1"/>
  <c r="R14" i="1"/>
  <c r="T12" i="1"/>
  <c r="W10" i="1"/>
  <c r="U18" i="1"/>
  <c r="T15" i="1"/>
  <c r="U10" i="1"/>
  <c r="W16" i="1"/>
  <c r="U13" i="1"/>
  <c r="R12" i="1"/>
  <c r="W19" i="1"/>
  <c r="S18" i="1"/>
  <c r="U16" i="1"/>
  <c r="R15" i="1"/>
  <c r="T13" i="1"/>
  <c r="W11" i="1"/>
  <c r="S10" i="1"/>
  <c r="U19" i="1"/>
  <c r="R18" i="1"/>
  <c r="T16" i="1"/>
  <c r="W14" i="1"/>
  <c r="S13" i="1"/>
  <c r="U11" i="1"/>
  <c r="R10" i="1"/>
  <c r="T19" i="1"/>
  <c r="W17" i="1"/>
  <c r="S16" i="1"/>
  <c r="U14" i="1"/>
  <c r="R13" i="1"/>
  <c r="T11" i="1"/>
  <c r="R17" i="1"/>
  <c r="W13" i="1"/>
  <c r="S12" i="1"/>
  <c r="T18" i="1"/>
  <c r="S15" i="1"/>
  <c r="T10" i="1"/>
  <c r="S19" i="1"/>
  <c r="U17" i="1"/>
  <c r="R16" i="1"/>
  <c r="T14" i="1"/>
  <c r="W12" i="1"/>
  <c r="S11" i="1"/>
  <c r="R19" i="1"/>
  <c r="T17" i="1"/>
  <c r="W15" i="1"/>
  <c r="S14" i="1"/>
  <c r="U12" i="1"/>
  <c r="R11" i="1"/>
  <c r="U8" i="1"/>
  <c r="R7" i="1"/>
  <c r="U5" i="1"/>
  <c r="S4" i="1"/>
  <c r="T9" i="1"/>
  <c r="W7" i="1"/>
  <c r="T6" i="1"/>
  <c r="T8" i="1"/>
  <c r="T5" i="1"/>
  <c r="R4" i="1"/>
  <c r="W9" i="1"/>
  <c r="S8" i="1"/>
  <c r="W6" i="1"/>
  <c r="S5" i="1"/>
  <c r="U9" i="1"/>
  <c r="R8" i="1"/>
  <c r="U6" i="1"/>
  <c r="R5" i="1"/>
  <c r="R9" i="1"/>
  <c r="T7" i="1"/>
  <c r="R6" i="1"/>
  <c r="U4" i="1"/>
  <c r="S9" i="1"/>
  <c r="U7" i="1"/>
  <c r="S6" i="1"/>
  <c r="W4" i="1"/>
  <c r="W8" i="1"/>
  <c r="S7" i="1"/>
  <c r="W5" i="1"/>
  <c r="T4" i="1"/>
  <c r="W3" i="1"/>
  <c r="U3" i="1"/>
  <c r="T3" i="1"/>
  <c r="S3" i="1"/>
  <c r="R3" i="1"/>
  <c r="O36" i="1"/>
  <c r="P36" i="1"/>
  <c r="N36" i="1"/>
  <c r="F39" i="1"/>
  <c r="F38" i="1"/>
  <c r="F40" i="1"/>
  <c r="F42" i="1"/>
  <c r="F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<sst xmlns="http://schemas.openxmlformats.org/spreadsheetml/2006/main" count="4822" uniqueCount="1152">
  <si>
    <t>STATUS</t>
  </si>
  <si>
    <t>Nº Carga:</t>
  </si>
  <si>
    <t>REMESSA / PICKING</t>
  </si>
  <si>
    <t>SEQ</t>
  </si>
  <si>
    <t>OV</t>
  </si>
  <si>
    <t>REMESSA</t>
  </si>
  <si>
    <t>OF</t>
  </si>
  <si>
    <t>ITEM</t>
  </si>
  <si>
    <t>NF</t>
  </si>
  <si>
    <t>CLIENTE</t>
  </si>
  <si>
    <t>CIDADE</t>
  </si>
  <si>
    <t>CARREGA</t>
  </si>
  <si>
    <t>ENTREGA</t>
  </si>
  <si>
    <t>PESO LIQ</t>
  </si>
  <si>
    <t>PESO BRUT</t>
  </si>
  <si>
    <t>PLTS</t>
  </si>
  <si>
    <t>Ref. Cliente</t>
  </si>
  <si>
    <t>FATURAMENTO</t>
  </si>
  <si>
    <t>LAUDO</t>
  </si>
  <si>
    <t>PACKING LIST</t>
  </si>
  <si>
    <t>TRANSPORTADORA</t>
  </si>
  <si>
    <t>TIPO VEÍCULO</t>
  </si>
  <si>
    <t>TOTAL</t>
  </si>
  <si>
    <t>-</t>
  </si>
  <si>
    <t>MOTORISTA DEVE PORTAR CELULAR COMPATIVEL COM APP FRETEFY-FROTA/ MANTER OS DADOS (INTERNET) E GPS ATIVOS  PARA MONITORAMENTO DA CARGA</t>
  </si>
  <si>
    <t>OBS 1ª ENTREGA</t>
  </si>
  <si>
    <t>OBS 2ª ENTREGA</t>
  </si>
  <si>
    <t>OBS 3ª ENTREGA</t>
  </si>
  <si>
    <t>OBS 4ª ENTREGA</t>
  </si>
  <si>
    <t>OBS 5ª ENTREGA</t>
  </si>
  <si>
    <t>DT EMBARQUE</t>
  </si>
  <si>
    <t>N° da Carga</t>
  </si>
  <si>
    <t>OV/SEQ</t>
  </si>
  <si>
    <t>Remessa</t>
  </si>
  <si>
    <t>CLIENTE ABREV</t>
  </si>
  <si>
    <t>Item</t>
  </si>
  <si>
    <t>Peso  Liq</t>
  </si>
  <si>
    <t>Peso  br.</t>
  </si>
  <si>
    <t>Pllt</t>
  </si>
  <si>
    <t>Cidade</t>
  </si>
  <si>
    <t>UF</t>
  </si>
  <si>
    <t>DESCRICAO MATERIAL</t>
  </si>
  <si>
    <t>ADM VENDAS</t>
  </si>
  <si>
    <t>Ref. cliente</t>
  </si>
  <si>
    <t>Texto</t>
  </si>
  <si>
    <t>Tipo do Veiculo</t>
  </si>
  <si>
    <t>Transp.</t>
  </si>
  <si>
    <t>NOTA FISCAL</t>
  </si>
  <si>
    <t>Obs</t>
  </si>
  <si>
    <t>1ª</t>
  </si>
  <si>
    <t>PELICULA DE PLASTICO ST 500X0,025MM</t>
  </si>
  <si>
    <t>0</t>
  </si>
  <si>
    <t>CARRETA SIDER / BAU</t>
  </si>
  <si>
    <t>ENVIADO</t>
  </si>
  <si>
    <t>FATURADO</t>
  </si>
  <si>
    <t>RECEBIDO</t>
  </si>
  <si>
    <t>PELICULA DE PLASTICO ST 500X0,017MM</t>
  </si>
  <si>
    <t>CARRETA 15M SIDER</t>
  </si>
  <si>
    <t/>
  </si>
  <si>
    <t>CARRETA 15M SIDER / BAU</t>
  </si>
  <si>
    <t>2ª</t>
  </si>
  <si>
    <t>CARRETA SIDER</t>
  </si>
  <si>
    <t>CARRETA 6 EIXOS 15M SIDER / BAU</t>
  </si>
  <si>
    <t>TRUCK SIDER</t>
  </si>
  <si>
    <t>3ª</t>
  </si>
  <si>
    <t>4ª</t>
  </si>
  <si>
    <t>TRUCK SIDER / BAU</t>
  </si>
  <si>
    <t>SA0163</t>
  </si>
  <si>
    <t>SA0166</t>
  </si>
  <si>
    <t>PELICULA DE PLASTICO ST 750X0,025MM</t>
  </si>
  <si>
    <t>CARRETA 6 EIXOS 15M SIDER</t>
  </si>
  <si>
    <t>5ª</t>
  </si>
  <si>
    <t>CARRETA ABERTA</t>
  </si>
  <si>
    <t>SA0155</t>
  </si>
  <si>
    <t>SA1515</t>
  </si>
  <si>
    <t>PELICULA DE PLASTICO ST 500X0,020MM</t>
  </si>
  <si>
    <t>TRUCK 8,5M SIDER / BAU</t>
  </si>
  <si>
    <t>TRUCK 8,5M SIDER</t>
  </si>
  <si>
    <t>VIDE OBS &gt;&gt;&gt;</t>
  </si>
  <si>
    <t>Tipo de Veiculos</t>
  </si>
  <si>
    <t>Transportadoras</t>
  </si>
  <si>
    <t>Outros</t>
  </si>
  <si>
    <t>Picking</t>
  </si>
  <si>
    <t>Faturamento</t>
  </si>
  <si>
    <t>Laudos</t>
  </si>
  <si>
    <t>FRETEFY / OFERTAR</t>
  </si>
  <si>
    <t>TRUCK BAU</t>
  </si>
  <si>
    <t>BITRUCK SIDER</t>
  </si>
  <si>
    <t>6ª</t>
  </si>
  <si>
    <t>7ª</t>
  </si>
  <si>
    <t>CARRETA BÁU</t>
  </si>
  <si>
    <t>8ª</t>
  </si>
  <si>
    <t>CARRETA 15M BAU</t>
  </si>
  <si>
    <t>CARRETA 6 EIXOS 15M BAU</t>
  </si>
  <si>
    <t>00</t>
  </si>
  <si>
    <t>CARRETA ABERTA 6 EIXOS</t>
  </si>
  <si>
    <t>DT ENTREGA</t>
  </si>
  <si>
    <t>PE</t>
  </si>
  <si>
    <t>Thulio Rocha</t>
  </si>
  <si>
    <t>SA0153</t>
  </si>
  <si>
    <t>IP03/04-26</t>
  </si>
  <si>
    <t>327043/20</t>
  </si>
  <si>
    <t>6100288946</t>
  </si>
  <si>
    <t>CAF</t>
  </si>
  <si>
    <t>Maceió AL</t>
  </si>
  <si>
    <t>AL</t>
  </si>
  <si>
    <t>Karen Germano</t>
  </si>
  <si>
    <t>1700122258</t>
  </si>
  <si>
    <t>OBRIGATORIEDADE NO ENVIO DE LAUDO DE QUALIDADE EM FORMATO FÍSICO.Horário de Recebimento: De segunda a sexta &gt; das 08H às 16H horas.Tipo de Veículo: SIDER OU ABERTO/ NÃO ACEITA VEÍCULO BAÚ . NÃO É NECESSÁAGENDAMENTO.E-MAIL DE CONTATO COM RECEBIMENTO: almox_mcz@solarbr.com.br ENTREGA PODE SER OTIMIZADA COM OUTROS. CLIENTE.ACEITA PALETE REMONTADONÃO É NECESSÁRIO AJUDANTE. CLIENTE ACEITA ANTECIPAÇÃO.*ATENÇÃO AO ENVIO DO LAUDO JUNTO A CARGA.*Autorizado o envio da carga para galpão externo do cliente quando encamiInserir custos de diárias e trajetos extras na planilha, para acompanhamentos doComercial. --SF--&gt; ATENDIMENTO POR IPOJUCA</t>
  </si>
  <si>
    <t>326808/40</t>
  </si>
  <si>
    <t>HA0463</t>
  </si>
  <si>
    <t>PELICULA DE PLASTICO SH 370X0,050MM</t>
  </si>
  <si>
    <t>326802/40</t>
  </si>
  <si>
    <t>80675914</t>
  </si>
  <si>
    <t>6100288888</t>
  </si>
  <si>
    <t>NORSA MACEIO</t>
  </si>
  <si>
    <t>HA0465</t>
  </si>
  <si>
    <t>PELICULA DE PLASTICO SH 680X0,050MM</t>
  </si>
  <si>
    <t>1700122259</t>
  </si>
  <si>
    <t>CLIENTE COM OTIFOBRIGATORIEDADE NO ENVIO DE LAUDO DE QUALIDADE EM FORMATO FÍSICO.Horário de Recebimento: De segunda a sexta &gt; das 08H às 16H.Tipo de Veículo: SIDER/ ABERTO/ BAU. NÃO É NECESSÁRIO AGENDAMENTO.E-MAIL DE CONTATO COM RECEBIMENTO: gr-su-almoxarifado@cocacolagr.com.br ENTREGA PODE SER OTIMIZADA COM OUTROS CLIENTE.ACEITA PALETE REMONTADO. NÃO É NECESSÁRIO AJUDANTE.CLIENTE ACEITA ANTECIPAÇÃO.*ATENÇÃO AO ENVIO DO LAUDO JUNTO A CARGA.*Autorizado o envio da carga para galpão externo do cliente quandoencaminhado. Inserir custos de diárias e trajetos extras naplanilha, para acompanhamentos do ComerciaL.Apresentar-se obrigatoriamente na fábrica da SOLAR: Avenida Antonio Lisboa de Amorim,799 / Cidade Universitaria / 57074-212 / Maceió AL.Havendo redirecionamento, seguir o endereço alternativo (alinhado na contratação). ENDEREÇO ALTERNATIVO: MSLOG SERVICOS DE LOGISTICA/ RUA JOSE VIEIRA, S/N - TABULEIRO DOSMARTINS CEP: 57082-340. Aprox: 4KM--SF--&gt; ATENDIMENTO POR IPOJUCA</t>
  </si>
  <si>
    <t>327124/20</t>
  </si>
  <si>
    <t>80672992</t>
  </si>
  <si>
    <t>SA0415</t>
  </si>
  <si>
    <t>CLIENTE COM OTIFOBRIGATORIEDADE NO ENVIO DE LAUDO DE QUALIDADE EM FORMATO FÍSICO.Horário de Recebimento: De segunda a sexta &gt; das 08H às 16H.Tipo de Veículo: SIDER/ ABERTO/ BAU. NÃO É NECESSÁRIO AGENDAMENTO.E-MAIL DE CONTATO COM RECEBIMENTO: gr-su-almoxarifado@cocacolagr.com.br ENTREGA PODE SER OTIMIZADA COM OUTROS CLIENTE.ACEITA PALETE REMONTADO. NÃO É NECESSÁRIO AJUDANTE.CLIENTE ACEITA ANTECIPAÇÃO.*ATENÇÃO AO ENVIO DO LAUDO JUNTO A CARGA.*Autorizado o envio da carga para galpão externo do cliente quandoencaminhado. Inserir custos de diárias e trajetos extras naplanilha, para acompanhamentos do ComerciaL.Apresentar-se obrigatoriamente na fábrica da SOLAR: Avenida Antonio Lisboa de Amorim,799 / Cidade Universitaria / 57074-212 / Maceió AL.Havendo redirecionamento, seguir o endereço alternativo (alinhado na contratação). ENDEREÇO ALTERNATIVO: MSLOG SERVICOS DE LOGISTICA/ RUA JOSE VIEIRA, S/N - TABULEIRO DOSMARTINS CEP: 57082-340. Aprox: 4KM--SF--&gt;</t>
  </si>
  <si>
    <t>IP04/04-26</t>
  </si>
  <si>
    <t>326802/50</t>
  </si>
  <si>
    <t>80668898</t>
  </si>
  <si>
    <t>6100288947</t>
  </si>
  <si>
    <t>326802/20</t>
  </si>
  <si>
    <t>80672990</t>
  </si>
  <si>
    <t>HA1178</t>
  </si>
  <si>
    <t>PELICULA DE PLASTICO SH 540X0,050MM</t>
  </si>
  <si>
    <t>348202/20</t>
  </si>
  <si>
    <t>80669790</t>
  </si>
  <si>
    <t>6100288973</t>
  </si>
  <si>
    <t>XPERT PACK</t>
  </si>
  <si>
    <t>SA1434</t>
  </si>
  <si>
    <t>FEIRA DE SANTANA BA</t>
  </si>
  <si>
    <t>BA</t>
  </si>
  <si>
    <t>PELICULA DE PLASTICO ST 1500X0,020MM</t>
  </si>
  <si>
    <t>DIA E HORÁRIO DE RECEBIMENTO: Horário comercialTIPO DE VEÍCULO: QUALQUER TIPOTIPO DE CARROCERIA: QUALQUER TIPOEQUIPAMENTO PARA RECEBIMENTO: EMPILHADEIRAENTREGA AGENDADA:SIME-MAIL PARA AGENDAMENTO: compras@xpertpack.com.brOTIMIZADO COM OUTROS CLIENTES: NÃORECEBE PALLET REMONTADO: NÃORECEBE PALLET SOBREPOSTO: NÃORECEBE PALLET UNITIZADO: NÃOACEITA ANTECIPAÇÃO DE ENTREGA: NÃOCOMPLEMENTO LOGÍSTICO: n/a</t>
  </si>
  <si>
    <t>IP06/04-26</t>
  </si>
  <si>
    <t>353147/10</t>
  </si>
  <si>
    <t>80675215</t>
  </si>
  <si>
    <t>6100288974</t>
  </si>
  <si>
    <t>CAJUINA</t>
  </si>
  <si>
    <t>HA2280</t>
  </si>
  <si>
    <t>Juazeiro do Norte CE</t>
  </si>
  <si>
    <t>CE</t>
  </si>
  <si>
    <t>PELICULA DE PLASTICO SH 300X0,060MM</t>
  </si>
  <si>
    <t>Beatriz Nunes</t>
  </si>
  <si>
    <t>TIPO DE VEICULO: SIDER/GRANELEIRO/ABERTO (NÃO ENVIAR BAU).EQUIPAMENTO PARA RECEBIMENTO: DESCARGA MANUAL.HORARIO DE RECEBIMENTO: DE SEGUNDA A SEXTA DAS 08 ÀS 17 HRS.OTIMIZADO COM OUTROS CLIENTES: SIM.ACEITA PALETE REMONTADO: SIM.ENVIAR AJUDANTES PARA DESCARGA: ATÉ 08 TON ENVIAR 2 AJUDANTES, ACIMADISSO ENVIAR 3 AJUDANTES. --SF--&gt; ATENDIMENTO POR IPOJUCA</t>
  </si>
  <si>
    <t>352853/10</t>
  </si>
  <si>
    <t>80676276</t>
  </si>
  <si>
    <t>6100288890</t>
  </si>
  <si>
    <t>VENTISOL PE</t>
  </si>
  <si>
    <t>VITORIA DE SANTO ANTAO PE</t>
  </si>
  <si>
    <t>* Data e Horário Recebimento de 07h às 15h de segunda a quinta, das 07h às 14h na sexta* Tipo de veículo Qualquer Tipo* Tipo de carroceria QUALQUER TIPO* Equipamento EMPILHADEIRA* Entrega agendada Sim* Recebe Pallet Sobreposto Sim* Recebe Pallet Unitilizado Sim* Otimizado com outros clientes? Sim* Aceita Antecipação na Entrega SimComplemento Logístico caminhao fechado* Necessita de ajudante para descarga? Não* Possui custo extra para a descarga? Qual o valor? naoE-mail para agendamento nordeste@ventisol.com.br* Recebe pallet remontado? Sim</t>
  </si>
  <si>
    <t>347910/10</t>
  </si>
  <si>
    <t>80667662</t>
  </si>
  <si>
    <t>6100288948</t>
  </si>
  <si>
    <t>WOLGA</t>
  </si>
  <si>
    <t>HA0584</t>
  </si>
  <si>
    <t>Ipu CE</t>
  </si>
  <si>
    <t>PELICULA DE PLASTICO SH 360X0,060MM</t>
  </si>
  <si>
    <t>DIA E HORÁRIO DE RECEBIMENTO: DE SEGUNDA A SEGUNDA 24h* TIPO DE VEÍCULO: Qualquer tipo* TIPO DE CARROCERIA: Somente sider ou grade baixa* EQUIPAMENTO PARA RECEBIMENTO: Empilhadeira* ENTREGA AGENDADA: Não é necessário* E-MAIL PARA AGENDAMENTO: Não necessita de agendamento* OTIMIZADO COM OUTROS CLIENTES: NÃO* RECEBE PALLET REMONTADO: Não* RECEBE PALLET SOBREPOSTO:Não* RECEBE PALLET UNITIZADO: Não* ACEITA ANTECIPAÇÃO DE ENTREGA: Somente com validação nossa* NECESSITA DE AJUDANTE PARA A DESCARGA?: Não* POSSUI CUSTO EXTRA PARA A DESCARGA? QUAL OVALOR?: Não* COMPLEMENTO LOGÍSTICO: Motoristas devem se apresentar no ponto de apoio da fábrica para marcação do veículo.Portando os EPI’s de segurança: capacete com jugular, óculos, sapato de segurança, colete refletivo.Sobre não aceitar palete remontado ou sobreposto,por medida de segurança de manter a integridade domaterial não podemos aceitar nesse formato.Nossa política de segurança interna, não permite subir em altura acima de 2 metros.Há risco</t>
  </si>
  <si>
    <t>347910/20</t>
  </si>
  <si>
    <t>80667663</t>
  </si>
  <si>
    <t>HA0300</t>
  </si>
  <si>
    <t>PELICULA DE PLASTICO SH 440X0,060MM</t>
  </si>
  <si>
    <t>IP07/04-26</t>
  </si>
  <si>
    <t>326800/20</t>
  </si>
  <si>
    <t>80669481</t>
  </si>
  <si>
    <t>6100288976</t>
  </si>
  <si>
    <t>NORSA</t>
  </si>
  <si>
    <t>Cabo de Santo Agostinho PE</t>
  </si>
  <si>
    <t>CLIENTE COM OTIFOBRIGATORIEDADE NO ENVIO DE LAUDO DE QUALIDADE EM FORMATO FÍSICO.Recebimento: Segunda a sext – das 06:00 as 17:00 e sábado 06:00 as 11HTipo de Veículo: SIDER OU ABERTO/ NÃO ACEITA VEÍCULO BAÚ . NÃO ÉNECESSÁRIO AGENDAMENTO.E-MAIL DE CONTATO COM RECEBIMENTO: almox_mcz@solarbr.com.brENTREGA PODE SER OTIMIZADA COM OUTROS. CLIENTE.ACEITA PALETEREMONTADONÃO É NECESSÁRIO AJUDANTE. CLIENTE ACEITA ANTECIPAÇÃO.*ATENÇÃO AO ENVIO DO LAUDO JUNTO A CARGA.*Autorizado o envio da carga para galpão externo do cliente quandoencaminhado. Inserir custosde diárias e trajetos extras na planilha, para acompanhamentos doComercial.Apresentar-se obrigatoriamente na fábrica da SOLAR: Estrada Etr TerceiroAcesso da Pe-60,7465  Engenho Serraria  54590-000  Cabo de SantoAgostinho PE.Havendo redirecionamento, seguir o endereço alternativo(alinhado na contratação). ENDEREÇO ALTERNATIVO: WINDROSE NORTE Windrose Serviços Marítimos - AV. Portuária S/NQuadra A Lote E-4 - Porto de Suape-Ipojuca. Aprox: 15 KM</t>
  </si>
  <si>
    <t>327041/40</t>
  </si>
  <si>
    <t>80672991</t>
  </si>
  <si>
    <t>326797/51</t>
  </si>
  <si>
    <t>80675913</t>
  </si>
  <si>
    <t>330927/20</t>
  </si>
  <si>
    <t>80669786</t>
  </si>
  <si>
    <t>HA0466</t>
  </si>
  <si>
    <t>PELICULA DE PLASTICO SH 760X0,050MM</t>
  </si>
  <si>
    <t>1700123299</t>
  </si>
  <si>
    <t>IP08/04-26</t>
  </si>
  <si>
    <t>346929/50</t>
  </si>
  <si>
    <t>80676266</t>
  </si>
  <si>
    <t>6100288893</t>
  </si>
  <si>
    <t>SIDORE</t>
  </si>
  <si>
    <t>HA0191</t>
  </si>
  <si>
    <t>Parnamirim RN</t>
  </si>
  <si>
    <t>RN</t>
  </si>
  <si>
    <t>PELICULA DE PLASTICO SH 380X0,070MM</t>
  </si>
  <si>
    <t>* RECEBIMENTO DAS 08:00 AS 16:00 HORAS.* TIPO DE VEICULO: SIDER, NÃO RECEBEM EM VEICULO BAU.* EQUIPAMENTO PARA DESCARGA: EMPILHADEIRA.* RECEBE PALETE REMONTADO: SIM.* OTIMIZADO COM OUTROS CLIENTES: SIM.* AGENDAMENTO DE ENTREGA: NÃO.* ACEITA ANTECIPAÇÃO DE ENTREGA: NÃO, PRECISA SER AUTORIZADO ANTES.--SF--&gt; ATENDIMENTO IPOJUCA</t>
  </si>
  <si>
    <t>346929/10</t>
  </si>
  <si>
    <t>80676268</t>
  </si>
  <si>
    <t>HA1277</t>
  </si>
  <si>
    <t>PELICULA DE PLASTICO SH 880X0,070MM</t>
  </si>
  <si>
    <t>346929/70</t>
  </si>
  <si>
    <t>80676277</t>
  </si>
  <si>
    <t>346929/90</t>
  </si>
  <si>
    <t>80676273</t>
  </si>
  <si>
    <t>352881/10</t>
  </si>
  <si>
    <t>80675866</t>
  </si>
  <si>
    <t>6100288892</t>
  </si>
  <si>
    <t>MONTE ALEGRE</t>
  </si>
  <si>
    <t>Mamanguape PB</t>
  </si>
  <si>
    <t>PB</t>
  </si>
  <si>
    <t>183411</t>
  </si>
  <si>
    <t>IP09/04-26</t>
  </si>
  <si>
    <t>351003/10</t>
  </si>
  <si>
    <t>80673128</t>
  </si>
  <si>
    <t>6100289051</t>
  </si>
  <si>
    <t>CANPACK LTDA</t>
  </si>
  <si>
    <t>Maracanaú CE</t>
  </si>
  <si>
    <t>93018</t>
  </si>
  <si>
    <t>incluir na observação da nota o número de pedido e a quantidade debobinas referente a essa nota.  --SF--&gt; ATENDIMENTO IPOJUCARECEBIMENTO: SEGUNDA-FEIRA a QUINTA FEIRA das 08h às 11h e das 13h às16h e SEXTA-FEIRA das 08h às 11h e das 13h às 14h</t>
  </si>
  <si>
    <t>327042/40</t>
  </si>
  <si>
    <t>80667387</t>
  </si>
  <si>
    <t>6100289050</t>
  </si>
  <si>
    <t>NORSA-MARACA</t>
  </si>
  <si>
    <t>CLIENTE COM OTIFOBRIGATORIEDADE NO ENVIO DE LAUDO DE QUALIDADE EM FORMATO FÍSICO.Horário de Recebimento: De segunda a sexta &gt; das 08H às 16H."Tipo de Veículo: SIDER / NÃO ACEITA VEÍCULO BAÚ. NÃO É NECESSÁRIOAGENDAMENTO".E-MAIL DE CONTATO COM RECEBIMENTO: almoxfor@solarbr.com.br ENTREGA PODE SER OTIMIZADA COM OUTROS CLIENTE.ACEITA PALETE REMONTADO.CLIENTE ACEITA ANTECIPAÇÃO.*ATENÇÃO AO ENVIO DO LAUDO JUNTO A CARGA.*Autorizado o envio da carga para galpão externo do cliente quando encamide diárias e trajetos extras na planilha, paraacompanhamentos do Comercial.Apresentar-se obrigatoriamente na fábrica da SOLAR: Rua Central II,SN /Distrito Industrial / 61939-110 / Maracanaú CE.Havendo redirecionamento, seguir o endereço alternativo (alinhado nacontratação). ENDEREÇO ALTERNATIVO: GUARDA LOG. /  AVENIDA PARQUECOMERCIAL, 589 DISTRITO INDUSTRIAL I, CEP: 61939-150 - Maracanaú A 180 metros da fábrica. Aprox: 200 metros.VEÍCULOS: SIDER (TRUCK OU CARRETA)EQUIPAMENTOS DISPONÍVEIS :Empilhadeira / P</t>
  </si>
  <si>
    <t>326796/30</t>
  </si>
  <si>
    <t>80667386</t>
  </si>
  <si>
    <t>HA0512</t>
  </si>
  <si>
    <t>PELICULA DE PLASTICO SH 320X0,050MM</t>
  </si>
  <si>
    <t>326796/20</t>
  </si>
  <si>
    <t>80675912</t>
  </si>
  <si>
    <t>326796/80</t>
  </si>
  <si>
    <t>80668897</t>
  </si>
  <si>
    <t>HA0145</t>
  </si>
  <si>
    <t>PELICULA DE PLASTICO SH 580X0,060MM</t>
  </si>
  <si>
    <t>IP10/04-26</t>
  </si>
  <si>
    <t>327042/50</t>
  </si>
  <si>
    <t>80667388</t>
  </si>
  <si>
    <t>6100289152</t>
  </si>
  <si>
    <t>326796/40</t>
  </si>
  <si>
    <t>80677139</t>
  </si>
  <si>
    <t>HA0254</t>
  </si>
  <si>
    <t>PELICULA DE PLASTICO SH 840X0,050MM</t>
  </si>
  <si>
    <t>IP11/04-26</t>
  </si>
  <si>
    <t>326800/10</t>
  </si>
  <si>
    <t>80677140</t>
  </si>
  <si>
    <t>6100289083</t>
  </si>
  <si>
    <t>354976/10</t>
  </si>
  <si>
    <t>80677438</t>
  </si>
  <si>
    <t>Ipojuca PE</t>
  </si>
  <si>
    <t>008370</t>
  </si>
  <si>
    <t>IP12/04-26</t>
  </si>
  <si>
    <t>Brasil Central (9200317)</t>
  </si>
  <si>
    <t>Cargox (9197817)</t>
  </si>
  <si>
    <t>Coelho (187128)</t>
  </si>
  <si>
    <t>Colibri (9199202)</t>
  </si>
  <si>
    <t>COSTA RIBEIRO (9191988)</t>
  </si>
  <si>
    <t>Deep (9199711)</t>
  </si>
  <si>
    <t>Dinâmica (9199262)</t>
  </si>
  <si>
    <t>Ellos (15976)</t>
  </si>
  <si>
    <t>Em negociação (Em negociação)</t>
  </si>
  <si>
    <t>Em negociação - D+2&gt; (Em negociação - D+2&gt;)</t>
  </si>
  <si>
    <t>Expresso Taubate (9191240)</t>
  </si>
  <si>
    <t>Expresso Taubaté (9191240)</t>
  </si>
  <si>
    <t>FOB (Em negociação)</t>
  </si>
  <si>
    <t>IG (9200256)</t>
  </si>
  <si>
    <t>Invictus (9195402)</t>
  </si>
  <si>
    <t>Itamontense (12744)</t>
  </si>
  <si>
    <t>kaizen (9191240)</t>
  </si>
  <si>
    <t>LG (186673)</t>
  </si>
  <si>
    <t>Madiã (9193292)</t>
  </si>
  <si>
    <t>MAGNA RIOS (9202305)</t>
  </si>
  <si>
    <t>Mitlog (9195759)</t>
  </si>
  <si>
    <t>Otto (9200079)</t>
  </si>
  <si>
    <t>Pelegrina (9194782)</t>
  </si>
  <si>
    <t>Peregrina (9194782)</t>
  </si>
  <si>
    <t>T&amp;R (9199980)</t>
  </si>
  <si>
    <t>Tesba (9196290)</t>
  </si>
  <si>
    <t>TR Itamonte (9199980)</t>
  </si>
  <si>
    <t>Transgarra (9193909)</t>
  </si>
  <si>
    <t>Transhaack (9194974)</t>
  </si>
  <si>
    <t>Transportadora Coelho (187128)</t>
  </si>
  <si>
    <t>Reficel (9194911)</t>
  </si>
  <si>
    <t>Rodocell (185569)</t>
  </si>
  <si>
    <t>7825-002</t>
  </si>
  <si>
    <t>7826-002</t>
  </si>
  <si>
    <t>7827-002</t>
  </si>
  <si>
    <t>7828-002</t>
  </si>
  <si>
    <t>7829-002</t>
  </si>
  <si>
    <t>7830-002</t>
  </si>
  <si>
    <t>7831-002</t>
  </si>
  <si>
    <t>suplog</t>
  </si>
  <si>
    <t>321993/10</t>
  </si>
  <si>
    <t>80677800</t>
  </si>
  <si>
    <t>VANGUARDA SA</t>
  </si>
  <si>
    <t>Teresina PI</t>
  </si>
  <si>
    <t>PI</t>
  </si>
  <si>
    <t>* Veiculo: Qualquer tipo.* Recebimento: Das 08 as 17 horas.* Recebe carga otimiza: Sim.* Palete remontado: Sim.* Cliente cobra descarga: Paletizada R$27,00 / Não paletizada R$37,00.FILME* STRETCH (Por Pallet filmado) UNIDADE R$ 8,00, será cobrado um valor deR$8,00 a mais por palete para todos os itens que não vierem paletizados(carga batida).* Agendar entrega: Tel (86) 9575-5919 Cd Varejo / email:recebimentocdvanguarda@grupovanguarda.com</t>
  </si>
  <si>
    <t>352233/10</t>
  </si>
  <si>
    <t>80677798</t>
  </si>
  <si>
    <t>MAR DOCE</t>
  </si>
  <si>
    <t>HA0579</t>
  </si>
  <si>
    <t>Paço do Lumiar MA</t>
  </si>
  <si>
    <t>MA</t>
  </si>
  <si>
    <t>PELICULA DE PLASTICO SH 420X0,060MM</t>
  </si>
  <si>
    <t>ATENDIMENTO VIA IPOJUCA</t>
  </si>
  <si>
    <t>352254/10</t>
  </si>
  <si>
    <t>80673743</t>
  </si>
  <si>
    <t>REF GUARARAP</t>
  </si>
  <si>
    <t>SA0175</t>
  </si>
  <si>
    <t>São Luís MA</t>
  </si>
  <si>
    <t>PELICULA DE PLASTICO ST 750X0,030MM</t>
  </si>
  <si>
    <t>1302009329</t>
  </si>
  <si>
    <t>"Não enviar carro tipo Bi-trem para a unidade da Solar de São Luiz".OBRIGATORIEDADE NO ENVIO DE LAUDO DE QUALIDADE EM FORMATO FÍSICO.Horário de Recebimento: De segunda a sexta &gt; das 08H às 16H.Tipo de Veículo: SIDER / NÃO ACEITA VEÍCULO BAÚ.  NÃO ÉNECESSÁRIO AGENDAMENTO.E-MAIL DE CONTATO COM RECEBIMENTO: ma.almox@solarbr.com.br ENTREGA PODE SER OTIMIZADA COM OUTROS CLIENTE.ACEITA PALETEREMONTADO.NÃO É NECESSÁRIO AJUDANTE. CLIENTE ACEITA ANTECIPAÇÃO.*ATENÇÃO AO ENVIO DO LAUDO JUNTO A CARGA.*VEÍCULOS: SIDEREQUIPAMENTOS DISPONÍVEIS : Empilhadeira /EXIGÊNCIAS DE SEGURANÇA: Calço do veículo e motorista com capacete,botina, colete refletivoHavendo redirecionamento, seguir o endereço alternativo (alinhado na contratação).ENDEREÇO ALTERNATIVO: Rua Principal, 3027 –Rodovia MA 301 ·, KM 3,5 - Itapera, São Luís - MACEP:  65.092-115 --SF--&gt;</t>
  </si>
  <si>
    <t>IP13/04-26</t>
  </si>
  <si>
    <t>326808/50</t>
  </si>
  <si>
    <t>80678720</t>
  </si>
  <si>
    <t>1302014308</t>
  </si>
  <si>
    <t>326805/60</t>
  </si>
  <si>
    <t>80679107</t>
  </si>
  <si>
    <t>327719/40</t>
  </si>
  <si>
    <t>80679109</t>
  </si>
  <si>
    <t>GRPK</t>
  </si>
  <si>
    <t>HA0578</t>
  </si>
  <si>
    <t>Lauro de Freitas BA</t>
  </si>
  <si>
    <t>PELICULA DE PLASTICO SH 840X0,070MM</t>
  </si>
  <si>
    <t>Mariana Hummel</t>
  </si>
  <si>
    <t>PALLETS TRAVADOSNão aceitam pallets travados. clientes não dispõe de rampa parao recebimento dos pedidos em caminhões baú em pallet travadoobrigatoriedade do envio pela transportadora do MFDe juntamentecom a NF.A GRPK recebe paletes remontados; Horário de recebimento: Das 7h30 às17h.Cliente com OTIF</t>
  </si>
  <si>
    <t>348202/30</t>
  </si>
  <si>
    <t>80677799</t>
  </si>
  <si>
    <t>IP14/04-26</t>
  </si>
  <si>
    <t>326800/50</t>
  </si>
  <si>
    <t>80679105</t>
  </si>
  <si>
    <t>327041/50</t>
  </si>
  <si>
    <t>80677423</t>
  </si>
  <si>
    <t>352362/10</t>
  </si>
  <si>
    <t>80681842</t>
  </si>
  <si>
    <t>SABINO PE</t>
  </si>
  <si>
    <t>POMBOS PE</t>
  </si>
  <si>
    <t>326796/60</t>
  </si>
  <si>
    <t>80677416</t>
  </si>
  <si>
    <t>326796/70</t>
  </si>
  <si>
    <t>80677141</t>
  </si>
  <si>
    <t>326796/50</t>
  </si>
  <si>
    <t>80672340</t>
  </si>
  <si>
    <t>HA0358</t>
  </si>
  <si>
    <t>PELICULA DE PLASTICO SH 760X0,070MM</t>
  </si>
  <si>
    <t>IP15/04-26</t>
  </si>
  <si>
    <t>349095/10</t>
  </si>
  <si>
    <t>80677420</t>
  </si>
  <si>
    <t>VALGROUP - VPE</t>
  </si>
  <si>
    <t>SA0168</t>
  </si>
  <si>
    <t>IPOJUCA PE</t>
  </si>
  <si>
    <t>PELICULA DE PLASTICO ST 500X0,030MM</t>
  </si>
  <si>
    <t>4500654826</t>
  </si>
  <si>
    <t>HORÁRIO:SEGUNDA À SEXTA DAS 08H AS 15HTIPO DE VEÍCULO: QUALQUER TIPOTIPO DE CARROCERIA:QUALQUER TIPOEQUIPAMENTO:EMPILHADEIRAENTREGA AGENDADA: NÃOE-MAIL PARA AGENDAMENTO:N/AOTIMIZADO COM OUTROS CLIENTES:SIMRECEBE PALLET REMONTADO: SIMRECEBE PALLET SOBREPOSTO:NÃORECEBE PALLET UNITIZADO:SIMACEITA ANTECIPAÇÃO NA ENTREGA:NÃOCOMPLEMENTO LOGISTICO:N/A CLIENTE COM TOLERÂNCIA NO RECEBIMENTO, NÃO ENVIAR MAIS QUE O PEDIDO </t>
  </si>
  <si>
    <t>349091/20</t>
  </si>
  <si>
    <t>80680736</t>
  </si>
  <si>
    <t>HC0119</t>
  </si>
  <si>
    <t>PELICULA DE PLASTICO 2200X2250X0,025MM</t>
  </si>
  <si>
    <t>4500655574</t>
  </si>
  <si>
    <t>IP16/04-26</t>
  </si>
  <si>
    <t>346915/10</t>
  </si>
  <si>
    <t>80678914</t>
  </si>
  <si>
    <t>CIMSAL MOS</t>
  </si>
  <si>
    <t>Mossoró RN</t>
  </si>
  <si>
    <t>294.741</t>
  </si>
  <si>
    <t>Recebimento de terça a sábado das 7:00 às 11:00 / e das 12:45 às 15:00.Não temos recebimento nas segundas feiras.Atenção: Obrigatório o uso de EPI's para descarga(Camisa/blusa, calça, botas ou botinas). --SF--&gt;</t>
  </si>
  <si>
    <t>357709/10</t>
  </si>
  <si>
    <t>80682094</t>
  </si>
  <si>
    <t>AMORIM &amp; CIA LTDA</t>
  </si>
  <si>
    <t>SA0211</t>
  </si>
  <si>
    <t>SAO JOSE DE MIPIBU RN</t>
  </si>
  <si>
    <t>PALLETS TRAVADOSNão aceitam pallets travados. clientes não dispõe de rampa parao recebimento dos pedidos em caminhões baú em pallet travadoO cliente permite remonte de 3 palletes.DIA E HORÁRIO DE RECEBIMENTO: Seg a Sex (08hs às 16hs) TIPO DE VEÍCULO:QUALQUER TIPO EQUIPAMENTO PARA RECEBIMENTO: EMPILHADEIRA ENTREGAAGENDADA: NÃO OTIMIZADO COM OUTROS CLIENTES: SIM RECEBE PALLETREMONTADO: NÃO ACEITA ANTECIPAÇÃO DE ENTREGA: NÃO ENVIAR 2 AJUDANTESPARA DESCARGA É necessário o envio de somente 01 chapa para odescarregamentoÉ necessário o envio de somente 01 chapa para o descarregamento.</t>
  </si>
  <si>
    <t>353771/10</t>
  </si>
  <si>
    <t>80676274</t>
  </si>
  <si>
    <t>COBAP</t>
  </si>
  <si>
    <t>MARACANAU CE</t>
  </si>
  <si>
    <t>94340</t>
  </si>
  <si>
    <t>HORÁRIO: COMERCIALTIPO DE VEÍCULO: TRUCKTIPO DE CARROCERIA: SIDEREQUIPAMENTO: EMPILHADEIRAENTREGA AGENDADA: SIME-MAIL PARA AGENDAMENTO: raquel@cobap.com.brOTIMIZADO C/ OUTROS CLIENTES: SOMENTE SE A ENTREGA DA COBAP FOR AULTIMAE NO VEICULO NÃO TER MATERIAIS DE OUTROS CLIENTESRECEBE PALLET SOBREPOSTO: SIMRECEBE PALLET UNITIZADO: NÃOACEITA ANTECIPAÇÃO NA ENTREGA: SIMRECEBE PALLET REMONTADO:NÃO --SF--&gt;</t>
  </si>
  <si>
    <t>IP17/04-26</t>
  </si>
  <si>
    <t>IP18/04-26</t>
  </si>
  <si>
    <t>322372/10</t>
  </si>
  <si>
    <t>80682325</t>
  </si>
  <si>
    <t>RMC LTDA</t>
  </si>
  <si>
    <t>Agendar entrega no email: almoxarifado@gruporcarvalho.com.br.Telefone do almoxarifado (86) 3228-7734 ou (86) 9998-8271.Cliente cobra descarga. --SF--&gt;</t>
  </si>
  <si>
    <t>326804/40</t>
  </si>
  <si>
    <t>80676370</t>
  </si>
  <si>
    <t>HA1175</t>
  </si>
  <si>
    <t>PELICULA DE PLASTICO SH 380X0,050MM</t>
  </si>
  <si>
    <t>1700122257</t>
  </si>
  <si>
    <t>"Não enviar carro tipo Bi-trem para a unidade da Solar de São Luiz".OBRIGATORIEDADE NO ENVIO DE LAUDO DE QUALIDADE EM FORMATO FÍSICO.Horário de Recebimento: De segunda a sexta &gt; das 08H às 16H.Tipo de Veículo: SIDER / NÃO ACEITA VEÍCULO BAÚ.  NÃO ÉNECESSÁRIO AGENDAMENTO.E-MAIL DE CONTATO COM RECEBIMENTO: ma.almox@solarbr.com.brENTREGA PODE SER OTIMIZADA COM OUTROS CLIENTE.ACEITA PALETEREMONTADO.NÃO É NECESSÁRIO AJUDANTE. CLIENTE ACEITA ANTECIPAÇÃO.*ATENÇÃO AO ENVIO DO LAUDO JUNTO A CARGA.*VEÍCULOS: SIDEREQUIPAMENTOS DISPONÍVEIS : Empilhadeira /EXIGÊNCIAS DE SEGURANÇA: Calço do veículo e motorista com capacete,botina, colete refletivoHavendo redirecionamento, seguir o endereço alternativo (alinhado nacontratação).ENDEREÇO ALTERNATIVO: Rua Principal, 3027 – Rodovia MA 301 ·, KM 3,5 -Itapera, São Luís - MA CEP:  65.092-115</t>
  </si>
  <si>
    <t>356849/30</t>
  </si>
  <si>
    <t>80683262</t>
  </si>
  <si>
    <t>SMAAK</t>
  </si>
  <si>
    <t>DIA E HORARIO DE RECEBIMENTO: Horário Comercial.TIPO DE VEICULO: (x) QUALQUER TIPO.EQUIPAMENTO PARA RECEBIMENTO: ( x )EMPILHADEIRA. ENTREGA AGENDADA? Não.PODE IR MATERIAL DE OUTRAS CLIENTES? ( x )SIM.RECEBE PALETE REMONTADO? (x) SIM. -</t>
  </si>
  <si>
    <t>356849/20</t>
  </si>
  <si>
    <t>80683261</t>
  </si>
  <si>
    <t>HA0275</t>
  </si>
  <si>
    <t>356849/10</t>
  </si>
  <si>
    <t>80683258</t>
  </si>
  <si>
    <t>IP19/04-26</t>
  </si>
  <si>
    <t>343304/10</t>
  </si>
  <si>
    <t>80682328</t>
  </si>
  <si>
    <t xml:space="preserve">POLE ALIMENTOS </t>
  </si>
  <si>
    <t>PACATUBA CE</t>
  </si>
  <si>
    <t>4500190563</t>
  </si>
  <si>
    <t>* ATENÇÃO: ENTREGAR NO ENDEREÇO AV DOUTOR MENDEL STEINBRUCH 2009,PAVUNA, PACATUBA/CE - CEP: 61809-320.* HORÁRIO: DAS 08 AS 16 HORAS* TIPO DE VEÍCULO: QUALQUER TIPO / TIPO DE CARROCERIA: SIDER* EQUIPAMENTO: PALETEIRA ELÉTRICA* ENTREGA AGENDADA: NÃO / OTIMIZADO COM OUTROS CLIENTES: SIM* RECEBE PALLET REMONTADO: SIM / SOBREPOSTO: SIM / UNITIZADO: NÃO* ACEITA ANTECIPAÇÃO NA ENTREGA: NÃO* OBRIGATÓRIO O ENVIO DO LAUDO JUNTO A CARGA* OBS: ENVIAR AJUDANTE PARA DESCARGA DO MATERIAL --SF--&gt; OBRIGATÓRIO OENVIO DO LAUDO JUNTO A CARGA* OBS: ENVIAR AJUDANTE PARA DESCARGA DO MATERIAL</t>
  </si>
  <si>
    <t>355529/10</t>
  </si>
  <si>
    <t>80683234</t>
  </si>
  <si>
    <t>RANCO CE</t>
  </si>
  <si>
    <t>Fortaleza CE</t>
  </si>
  <si>
    <t>256113</t>
  </si>
  <si>
    <t>OBRIGATÓRIO ENVIAR O LAUDO ANEXO A NOTA JUNTO A CARGA. REALIZARAGENDAMENTO: s.producao@ranco.com.br; s.comercial@ranco.com.br</t>
  </si>
  <si>
    <t>356348/20</t>
  </si>
  <si>
    <t>80680734</t>
  </si>
  <si>
    <t>NATURAGUA SA</t>
  </si>
  <si>
    <t>Horizonte CE</t>
  </si>
  <si>
    <t>594125</t>
  </si>
  <si>
    <t xml:space="preserve"> --SF--&gt; ATENDIMENTO VIA IPOJUCASeg a Qui: 07:00 ás 11:00hs e de 13:00 ás 16:00hs -- Sex: 07:00 ás11:00hs e de 13:00 ás 15:00hs-</t>
  </si>
  <si>
    <t>356843/10</t>
  </si>
  <si>
    <t>80681312</t>
  </si>
  <si>
    <t>DELRIO 2</t>
  </si>
  <si>
    <t>Sobral CE</t>
  </si>
  <si>
    <t>013782</t>
  </si>
  <si>
    <t xml:space="preserve"> --SF--&gt; ATENDIMENTO IPOJUCA</t>
  </si>
  <si>
    <t>IP20/04-26</t>
  </si>
  <si>
    <t>358840/10</t>
  </si>
  <si>
    <t>80683237</t>
  </si>
  <si>
    <t>SUPPLOG</t>
  </si>
  <si>
    <t>SA1516</t>
  </si>
  <si>
    <t>004962</t>
  </si>
  <si>
    <t>DIA E HORÁRIO DE RECEBIMENTO: RECEBIMENTO ATE AS 16 HORAS.TIPO DE VEÍCULO: QUALQUER TIPOEQUIPAMENTO PARA RECEBIMENTO: PALETEIRA ELÉTRICAOTIMIZADO COM OUTROS CLIENTES: SIMRECEBE PALLET REMONTADO: SIMACEITA ANTECIPAÇÃO DE ENTREGA: SIMCOMPLEMENTO LOGÍSTICO: N/A</t>
  </si>
  <si>
    <t>IP21/04-26</t>
  </si>
  <si>
    <t>339776/20</t>
  </si>
  <si>
    <t>80679483</t>
  </si>
  <si>
    <t>PITU</t>
  </si>
  <si>
    <t>Vitória de Santo Antão PE</t>
  </si>
  <si>
    <t>161192/1</t>
  </si>
  <si>
    <t>* Agendar entrega nos emails: suportecompras@pitu.com.br,almoxarifado@pitu.com.br.jose.bartolomeu@pitu.com.br* O cliente não aceita antecipação de entrega.Cliente não aceita antecipações.</t>
  </si>
  <si>
    <t>359099/10</t>
  </si>
  <si>
    <t>80683846</t>
  </si>
  <si>
    <t>PALMA FLEX</t>
  </si>
  <si>
    <t>HA0151</t>
  </si>
  <si>
    <t>JABOATAO DOS GUARARAPES PE</t>
  </si>
  <si>
    <t>DIA E HORÁRIO DE RECEBIMENTO: Segunda a sexta das 8h às 18h.TIPO DE VEÍCULO: Qualquer tipoTIPO DE CARROCERIA: Qualquer tipoEQUIPAMENTO: Empilhadeira, paleteira manual e paleteira elétrica.ENTREGA AGENDADA: SimE-MAIL PARA AGENDAMENTO: suprimentos@palmaflex.comOTIMIZADO COM OUTROS CLIENTES: SimRECEBE PALLET REMONTADO: SimRECEBE PALLET SOBREPOSTO: SimRECEBE PALLET UNITIZADO: SimACEITA ANTECIPAÇÃO NA ENTREGA: SimCOMPLEMENTO LOGISTICO: Não enviar palete travados e enviar apenas os paletes que correspondem aespecificação do item/cliente, sem a possibilidade deliberação especial.COMPLEMENTO LOGÍSTICO: Não é necessário envio de ajudantes, não possui custo extra para descarga.</t>
  </si>
  <si>
    <t>324790/30</t>
  </si>
  <si>
    <t>80679111</t>
  </si>
  <si>
    <t>VICUNHA II</t>
  </si>
  <si>
    <t>HA2424</t>
  </si>
  <si>
    <t>Natal RN</t>
  </si>
  <si>
    <t>PELICULA DE PLASTICO SH 1100X0,080MM</t>
  </si>
  <si>
    <t>529375</t>
  </si>
  <si>
    <t>343362/11</t>
  </si>
  <si>
    <t>80683717</t>
  </si>
  <si>
    <t>MULTPLAST CE</t>
  </si>
  <si>
    <t>FORTALEZA CE</t>
  </si>
  <si>
    <t>Precisa de ajudante para descarga do material.Horário de recebimento: 7:30 as 16:00 --SF--&gt; ATENDIMENTO POR IPOJUCAPrecisa de ajudante para descarga do material. Horário de recebimento:7:30 as 16:00</t>
  </si>
  <si>
    <t>358954/10</t>
  </si>
  <si>
    <t>80683448</t>
  </si>
  <si>
    <t>256117</t>
  </si>
  <si>
    <t>IP22/04-26</t>
  </si>
  <si>
    <t>354414/10</t>
  </si>
  <si>
    <t>SEARA SUAPE</t>
  </si>
  <si>
    <t>6935824</t>
  </si>
  <si>
    <t>DIA E HORÁRIO DE RECEBIMENTO: 08h as 13hTIPO DE VEÍCULO: QUALQUER TIPO, EXCETO RODOTREM/BITREM/VEÍCULO COM DESNÍTIPO DE CARROCERIA: SIDEREQUIPAMENTO PARA RECEBIMENTO: EMPILHADEIRA E TRANSPALETEIRA ELÉTRICAENTREGA AGENDADA: NÃO E-MAIL PARA AGENDAMENTO: NÃO OTIMIZADO COM OUTROSCLIENTES: SIM RECEBE PALLET REMONTADO: SIM RECEBE PALLET SOBREPOSTO: SIMRECEBE PALLET UNITIZADO: SIM ACEITA ANTECIPAÇÃO DE ENTREGA: NÃONECESSITA DE AJUDANTE PARA A DESCARGA?: NÃO POSSUI CUSTO EXTRA PARA ADESCARGA? QUAL O VALOR?: COMPLEMENTO LOGÍSTICO: MOTORISTA PRECISA IRPARA CABO DE SANTO AGOSTINHO</t>
  </si>
  <si>
    <t>361290/10</t>
  </si>
  <si>
    <t>80686379</t>
  </si>
  <si>
    <t>INOVE EMB</t>
  </si>
  <si>
    <t>RECIFE PE</t>
  </si>
  <si>
    <t>PALLETS TRAVADOSNão aceitam pallets travados. clientes não dispõe de rampa parao recebimento dos pedidos em caminhões baú em pallet travado</t>
  </si>
  <si>
    <t>361290/30</t>
  </si>
  <si>
    <t>80686377</t>
  </si>
  <si>
    <t>361290/20</t>
  </si>
  <si>
    <t>80686378</t>
  </si>
  <si>
    <t>IP23/04-26</t>
  </si>
  <si>
    <t>346929/20</t>
  </si>
  <si>
    <t>80677859</t>
  </si>
  <si>
    <t>346929/40</t>
  </si>
  <si>
    <t>80687574</t>
  </si>
  <si>
    <t>HA0180</t>
  </si>
  <si>
    <t>PELICULA DE PLASTICO SH 460X0,070MM</t>
  </si>
  <si>
    <t>346929/30</t>
  </si>
  <si>
    <t>80687573</t>
  </si>
  <si>
    <t>346929/60</t>
  </si>
  <si>
    <t>80677857</t>
  </si>
  <si>
    <t>346929/100</t>
  </si>
  <si>
    <t>80677860</t>
  </si>
  <si>
    <t>326794/10</t>
  </si>
  <si>
    <t>80683669</t>
  </si>
  <si>
    <t>NORSA MACAÍB</t>
  </si>
  <si>
    <t>HA0870</t>
  </si>
  <si>
    <t>Macaíba RN</t>
  </si>
  <si>
    <t>PELICULA DE PLASTICO SH 410X0,050MM</t>
  </si>
  <si>
    <t>CLIENTE COM OTIFOBRIGATORIEDADE NO ENVIO DE LAUDO DE QUALIDADE EM FORMATO FÍSICO.Horário de Recebimento: De segunda a sexta &gt; das 08H às 16H.Tipo de Veículo: SIDER OU ABERTO/ NÃO ACEITA VEÍCULO BAÚ. NÃOÉ NECESSÁRIO AGENDAMENTO.E-MAIL DE CONTATO COM RECEBIMENTO: gr-su-almoxarifado@cocacolagr.com.brENTREGA PODE SER OTIMIZADA COM OUTROS CLIENTE.ACEITA PALETE REMONTADO.VEÍCULO SIDER OU ABERTO.NÃO É NECESSÁRIO AJUDANTE.CLIENTE ACEITA ANTECIPAÇÃO.*ATENÇÃO AO ENVIO DO LAUDO JUNTO A CARGA*VEÍCULOS: SIDEREQUIPAMENTOS DISPONÍVEIS Empilhadeira / PaleteiraEXIGÊNCIAS DE SEGURANÇA: Calço do veículo e motorista com capacete,botina, colete refletivo --SF--&gt; ATENDIMENTO POR IPOJUCA</t>
  </si>
  <si>
    <t>327040/10</t>
  </si>
  <si>
    <t>80683671</t>
  </si>
  <si>
    <t>IP24/04-26</t>
  </si>
  <si>
    <t>326800/40</t>
  </si>
  <si>
    <t>80679108</t>
  </si>
  <si>
    <t>IP25/04-26</t>
  </si>
  <si>
    <t>359968/20</t>
  </si>
  <si>
    <t>80684731</t>
  </si>
  <si>
    <t>SANTELISA INDUSTRIA</t>
  </si>
  <si>
    <t>AQUIRAZ CE</t>
  </si>
  <si>
    <t>253862</t>
  </si>
  <si>
    <t>DIA E HORÁRIO DE RECEBIMENTO: SEGUNDA QUINTA 07H - 11H 13H - 16HSEXTA 07H - 11 E 13H - 15HTIPO DE VEÍCULO: QUALQUER TIPOTIPO DE CARROCERIA: QUALQUER TIPOEQUIPAMENTO PARA RECEBIMENTO: EMPILHADEIRAOTIMIZADO COM OUTROS CLIENTES: SIMRECEBE PALLET REMONTADO: SIMRECEBE PALLET SOBREPOSTO: NÃORECEBE PALLET UNITIZADO: NÃOACEITA ANTECIPAÇÃO DE ENTREGA: NÃOCOMPLEMENTO LOGÍSTICO: n/a --SF--&gt; ATENDIMENTO IPOJUCA</t>
  </si>
  <si>
    <t>359968/10</t>
  </si>
  <si>
    <t>80684729</t>
  </si>
  <si>
    <t>359968/30</t>
  </si>
  <si>
    <t>80684732</t>
  </si>
  <si>
    <t>356871/10</t>
  </si>
  <si>
    <t>80685013</t>
  </si>
  <si>
    <t>PURAZUL</t>
  </si>
  <si>
    <t>HA0232</t>
  </si>
  <si>
    <t>CAUCAIA CE</t>
  </si>
  <si>
    <t>PELICULA DE PLASTICO SH 400X0,060MM</t>
  </si>
  <si>
    <t>IP26/04-26</t>
  </si>
  <si>
    <t>359017/30</t>
  </si>
  <si>
    <t>80684197</t>
  </si>
  <si>
    <t>Feira de Santana BA</t>
  </si>
  <si>
    <t>1183</t>
  </si>
  <si>
    <t>cliente necessita que o agendamento das cargas sejam somente desegunda a quarta-feiras.Reforço ainda a necessidade de intervalo entre entregas, comopor exemplo, uma semana de intervalo entre entregas em semanas querecebamos 2 containers, já que o espaço físico precisa ser organizadopara o recebimento.A entrega deverá ser realizada em veículos com carroceria tipo sider ou graneleiro. Caso contrário, será obrigatória a disponibilização de chapas para a realização da descarga.A ausência de chapas ou o envio de veículo em desacordo com o solicitado poderá ocasionar atrasos no processo de recebimento e, se necessário, o reagendamento da entrega.</t>
  </si>
  <si>
    <t>359017/20</t>
  </si>
  <si>
    <t>80684196</t>
  </si>
  <si>
    <t>HA0765</t>
  </si>
  <si>
    <t>PELICULA DE PLASTICO SH 730X0,035MM</t>
  </si>
  <si>
    <t>359017/10</t>
  </si>
  <si>
    <t>HA2094</t>
  </si>
  <si>
    <t>PELICULA DE PLASTICO SH 1200X0,040MM</t>
  </si>
  <si>
    <t>IP27/04-26</t>
  </si>
  <si>
    <t>359017/40</t>
  </si>
  <si>
    <t>80684198</t>
  </si>
  <si>
    <t>HA2705</t>
  </si>
  <si>
    <t>PELICULA DE PLASTICO SH 970X0,060MM</t>
  </si>
  <si>
    <t>360624/10</t>
  </si>
  <si>
    <t>80685471</t>
  </si>
  <si>
    <t>1204</t>
  </si>
  <si>
    <t>Pedido de Compra Nº 1204</t>
  </si>
  <si>
    <t>IP28/04-26</t>
  </si>
  <si>
    <t>358637/20</t>
  </si>
  <si>
    <t>80685690</t>
  </si>
  <si>
    <t>TROPICAL REF</t>
  </si>
  <si>
    <t xml:space="preserve"> --SF--&gt; ATENDIMENTO POR IPOJUCA</t>
  </si>
  <si>
    <t>358637/10</t>
  </si>
  <si>
    <t>80685689</t>
  </si>
  <si>
    <t>357154/10</t>
  </si>
  <si>
    <t>80685343</t>
  </si>
  <si>
    <t>RIVER REFRI</t>
  </si>
  <si>
    <t>Imperatriz MA</t>
  </si>
  <si>
    <t>Recebimento: 09h00 as 17h00 (parada para almoço de 12h00 ás 13 hrs).Veiculo: Qualquer tipo. Agendar entrega: compras@river.ind.br Recebepalete remontado: Não Aceita antecipação? Comunicar antes. Recebe cargaotimizada com outros clientes: Sim. Equipamento para recebimento:Empilhadeira. --SF--&gt; ATENDIMENTO IPOJUCA</t>
  </si>
  <si>
    <t>357154/20</t>
  </si>
  <si>
    <t>80685341</t>
  </si>
  <si>
    <t>IP29/04-26</t>
  </si>
  <si>
    <t>343362/10</t>
  </si>
  <si>
    <t>80688113</t>
  </si>
  <si>
    <t>326796/10</t>
  </si>
  <si>
    <t>80687575</t>
  </si>
  <si>
    <t>HA1177</t>
  </si>
  <si>
    <t>PELICULA DE PLASTICO SH 460X0,050MM</t>
  </si>
  <si>
    <t>326793/20</t>
  </si>
  <si>
    <t>80685986</t>
  </si>
  <si>
    <t>IP30/04-26</t>
  </si>
  <si>
    <t>IP31/04-26</t>
  </si>
  <si>
    <t>362658/10</t>
  </si>
  <si>
    <t>80689543</t>
  </si>
  <si>
    <t>DRAGAO</t>
  </si>
  <si>
    <t>CASCAVEL CE</t>
  </si>
  <si>
    <t>DIA E HORÁRIO DE RECEBIMENTO: COMERCIALTIPO DE VEÍCULO: QUALQUER TIPOTIPO DE CARROCERIA: QUALQUER TIPOEQUIPAMENTO PARA RECEBIMENTO: EMPILHADEIRAOTIMIZADO COM OUTROS CLIENTES: SIMRECEBE PALLET REMONTADO: SIMRECEBE PALLET SOBREPOSTO: SIMRECEBE PALLET UNITIZADO:SIMACEITA ANTECIPAÇÃO DE ENTREGA: NÃOCOMPLEMENTO LOGÍSTICO:Para toda entrega, será necessário o cadastro datransportadora e fornecedor, através do contato viaWhatsApp: (81) 98513-1780. Esse cadastro permitirá o direcionamento ao responsável de cada filial.Segue também o link com o tutorial do aplicativo que o motorista deverá baixar para realizar o cadastro e,assim, conseguir efetuar a entrega.https://valgroupco-my.sharepoint.com/personal/bruna_ligabo_valgroupco_com/_layouts/15/onedrive.aspx?id=%2Fpersonal%2Fbruna%5Fligabo%5Fvalgroupco%5Fcom%2FDocuments%2FUSU%C3%81RIO%20AGENDADOR%20GOFUSION%2Epdf&amp;parent=%2Fpersonal%2Fbruna%5Fligabo%5Fvalgroupco%5Fcom%2FDocuments&amp;ga=1Para toda entrega, será necessário o agendamento no portal https:/</t>
  </si>
  <si>
    <t>360547/10</t>
  </si>
  <si>
    <t>80685991</t>
  </si>
  <si>
    <t>93402</t>
  </si>
  <si>
    <t>362661/10</t>
  </si>
  <si>
    <t>80689541</t>
  </si>
  <si>
    <t>DRAGÃO PERNAMBUCO</t>
  </si>
  <si>
    <t>DIA E HORÁRIO DE RECEBIMENTO: SEGUNDA A SEXTA 07:00 - 16:00 hrsTIPO DE VEÍCULO: QUALQUER TIPOEQUIPAMENTO PARA RECEBIMENTO: EMPILHADEIRAOTIMIZADO COM OUTROS CLIENTES: SIMRECEBE PALLET REMONTADO: SIMACEITA ANTECIPAÇÃO DE ENTREGA: SIMCOMPLEMENTO LOGÍSTICO: n/aPara toda entrega, será necessário o cadastro datransportadora e fornecedor, através do contato viaWhatsApp: (81) 98513-1780. Esse cadastro permitirá o direcionamento ao responsável de cada filial.Segue também o link com o tutorial do aplicativo que o motorista deverá baixar para realizar o cadastro e,assim, conseguir efetuar a entrega.https://valgroupco-my.sharepoint.com/personal/bruna_ligabo_valgroupco_com/_layouts/15/onedrive.aspx?id=%2Fpersonal%2Fbruna%5Fligabo%5Fvalgroupco%5Fcom%2FDocuments%2FUSU%C3%81RIO%20AGENDADOR%20GOFUSION%2Epdf&amp;parent=%2Fpersonal%2Fbruna%5Fligabo%5Fvalgroupco%5Fcom%2FDocuments&amp;ga=1</t>
  </si>
  <si>
    <t>IP32/04-26</t>
  </si>
  <si>
    <t>364121/10</t>
  </si>
  <si>
    <t>80691544</t>
  </si>
  <si>
    <t>IP33/04-26</t>
  </si>
  <si>
    <t>362654/10</t>
  </si>
  <si>
    <t>80689542</t>
  </si>
  <si>
    <t>INTERLANDIA AL.</t>
  </si>
  <si>
    <t>MARECHAL DEODORO AL</t>
  </si>
  <si>
    <t>IA E HORÁRIO DE RECEBIMENTO: NATIPO DE VEÍCULO: QUALQUER TIPOEQUIPAMENTO PARA RECEBIMENTO: EMPILHADEIRAENTREGA AGENDADA: simE-MAIL PARA AGENDAMENTO: pedro@interlandia.com.brOTIMIZADO COM OUTROS CLIENTES: NÃORECEBE PALLET REMONTADO: SIMACEITA ANTECIPAÇÃO DE ENTREGA: NÃOCOMPLEMENTO LOGÍSTICO: n/aPara toda entrega, será necessário o cadastro datransportadora e fornecedor, através do contato viaWhatsApp: (81) 98513-1780. Esse cadastro permitirá o direcionamento ao responsável de cada filial.Segue também o link com o tutorial do aplicativo que o motorista deverá baixar para realizar o cadastro e,assim, conseguir efetuar a entrega.https://valgroupco-my.sharepoint.com/personal/bruna_ligabo_valgroupco_com/_layouts/15/onedrive.aspx?id=%2Fpersonal%2Fbruna%5Fligabo%5Fvalgroupco%5Fcom%2FDocuments%2FUSU%C3%81RIO%20AGENDADOR%20GOFUSION%2Epdf&amp;parent=%2Fpersonal%2Fbruna%5Fligabo%5Fvalgroupco%5Fcom%2FDocuments&amp;ga=1</t>
  </si>
  <si>
    <t>359100/10</t>
  </si>
  <si>
    <t>80688522</t>
  </si>
  <si>
    <t>362995/10</t>
  </si>
  <si>
    <t>80691570</t>
  </si>
  <si>
    <t>HA0481</t>
  </si>
  <si>
    <t>PELICULA DE PLASTICO SH 350X0,050MM</t>
  </si>
  <si>
    <t>363590/30</t>
  </si>
  <si>
    <t>80691574</t>
  </si>
  <si>
    <t>363590/20</t>
  </si>
  <si>
    <t>80691572</t>
  </si>
  <si>
    <t>HA2118</t>
  </si>
  <si>
    <t>PELICULA DE PLASTICO SH 550X0,090MM</t>
  </si>
  <si>
    <t>IP34/04-26</t>
  </si>
  <si>
    <t>327044/20</t>
  </si>
  <si>
    <t>80685442</t>
  </si>
  <si>
    <t>326803/30</t>
  </si>
  <si>
    <t>80685441</t>
  </si>
  <si>
    <t>326803/20</t>
  </si>
  <si>
    <t>80685439</t>
  </si>
  <si>
    <t>326807/40</t>
  </si>
  <si>
    <t>80685438</t>
  </si>
  <si>
    <t>1700122513</t>
  </si>
  <si>
    <t>363395/10</t>
  </si>
  <si>
    <t>80690608</t>
  </si>
  <si>
    <t xml:space="preserve"> --SF--&gt; ATENDIMENTO VIA IPOJUCA</t>
  </si>
  <si>
    <t>IP35/04-26</t>
  </si>
  <si>
    <t>363590/40</t>
  </si>
  <si>
    <t>HA0691</t>
  </si>
  <si>
    <t>358646/10</t>
  </si>
  <si>
    <t>80685994</t>
  </si>
  <si>
    <t>CARVALHO IND</t>
  </si>
  <si>
    <t>Agendar entrega no e-mail: almoxarifado@gruporcarvalho.com.br.Telefone do almoxarifado (86) 3228-7734 ou (86) 9998-8271Cliente cobra descarga. --SF--&gt;</t>
  </si>
  <si>
    <t>334584/10</t>
  </si>
  <si>
    <t>80685443</t>
  </si>
  <si>
    <t>1700123031</t>
  </si>
  <si>
    <t>326803/10</t>
  </si>
  <si>
    <t>80685440</t>
  </si>
  <si>
    <t>IP36/04-26</t>
  </si>
  <si>
    <t>327041/60</t>
  </si>
  <si>
    <t>80692334</t>
  </si>
  <si>
    <t>IP37/04-26</t>
  </si>
  <si>
    <t>327124/30</t>
  </si>
  <si>
    <t>80692333</t>
  </si>
  <si>
    <t>326805/30</t>
  </si>
  <si>
    <t>80686730</t>
  </si>
  <si>
    <t>326805/50</t>
  </si>
  <si>
    <t>80692157</t>
  </si>
  <si>
    <t>IP38/04-26</t>
  </si>
  <si>
    <t>326793/60</t>
  </si>
  <si>
    <t>80686611</t>
  </si>
  <si>
    <t>326793/30</t>
  </si>
  <si>
    <t>80687576</t>
  </si>
  <si>
    <t>327042/70</t>
  </si>
  <si>
    <t>80686616</t>
  </si>
  <si>
    <t>IP39/04-26</t>
  </si>
  <si>
    <t>326793/10</t>
  </si>
  <si>
    <t>80686612</t>
  </si>
  <si>
    <t>327042/60</t>
  </si>
  <si>
    <t>80686615</t>
  </si>
  <si>
    <t>326793/50</t>
  </si>
  <si>
    <t>80686613</t>
  </si>
  <si>
    <t>IP40/04-26</t>
  </si>
  <si>
    <t>363919/10</t>
  </si>
  <si>
    <t>80691009</t>
  </si>
  <si>
    <t>363920/20</t>
  </si>
  <si>
    <t>80693368</t>
  </si>
  <si>
    <t>HA1750</t>
  </si>
  <si>
    <t>PELICULA DE PLASTICO SH 760X0,060MM</t>
  </si>
  <si>
    <t>363920/30</t>
  </si>
  <si>
    <t>80693369</t>
  </si>
  <si>
    <t>363920/10</t>
  </si>
  <si>
    <t>80693370</t>
  </si>
  <si>
    <t>HA2282</t>
  </si>
  <si>
    <t>PELICULA DE PLASTICO SH 860X0,060MM</t>
  </si>
  <si>
    <t>IP41/04-26</t>
  </si>
  <si>
    <t>326801/20</t>
  </si>
  <si>
    <t>80686733</t>
  </si>
  <si>
    <t>326801/30</t>
  </si>
  <si>
    <t>80686731</t>
  </si>
  <si>
    <t>326801/10</t>
  </si>
  <si>
    <t>IP42/04-26</t>
  </si>
  <si>
    <t>327043/30</t>
  </si>
  <si>
    <t>80692986</t>
  </si>
  <si>
    <t>346929/81</t>
  </si>
  <si>
    <t>363919/11</t>
  </si>
  <si>
    <t>363920/31</t>
  </si>
  <si>
    <t>310403/30</t>
  </si>
  <si>
    <t>80694289</t>
  </si>
  <si>
    <t>ÁGUA PRIME</t>
  </si>
  <si>
    <t>Data e Horário De segunda a sexta das 09H as 16H* Tipo de veículo 3/4* Tipo de carroceria GRADE BAIXA* Equipamento EMPILHADEIRA* Entrega agendada Sim* Recebe Pallet Sobreposto Não* Recebe Pallet Unitilizado Não* Aceita Antecipação na Entrega Sim* Necessita de ajudante para descarga? Não* Possui custo extra para a descarga? Qual o valor? NãoE-mail para agendamento aguaprimedafonte1@gmail.com* Recebe pallet remontado? Sim --SF--&gt; ATENDIMENTO POR IPOJUCA</t>
  </si>
  <si>
    <t>343304/20</t>
  </si>
  <si>
    <t>80696253</t>
  </si>
  <si>
    <t>POLE ALIMENTOS</t>
  </si>
  <si>
    <t>343304/30</t>
  </si>
  <si>
    <t>80696255</t>
  </si>
  <si>
    <t>343304/40</t>
  </si>
  <si>
    <t>80696257</t>
  </si>
  <si>
    <t>364597/10</t>
  </si>
  <si>
    <t>80696212</t>
  </si>
  <si>
    <t>NEW PLASTIC CE</t>
  </si>
  <si>
    <t>811036</t>
  </si>
  <si>
    <t>DIA E HORÁRIO DE RECEBIMENTO: SEGUNDA A SEXTA 08H as 18HTIPO DE VEÍCULO: QUALQUER TIPOEQUIPAMENTO PARA RECEBIMENTO: EMPILHADEIRAOTIMIZADO COM OUTROS CLIENTES: SIMRECEBE PALLET REMONTADO: SIMACEITA ANTECIPAÇÃO DE ENTREGA: SIMCOMPLEMENTO LOGÍSTICO: n/aENTREGA AGENDADA: NÃOE-MAIL PARA AGENDAMENTO: N/A</t>
  </si>
  <si>
    <t>366313/10</t>
  </si>
  <si>
    <t>80695747</t>
  </si>
  <si>
    <t>ROBINSON CRU</t>
  </si>
  <si>
    <t>São Gonçalo do Amarante CE</t>
  </si>
  <si>
    <t>3060013493</t>
  </si>
  <si>
    <t>* Horário de recebimento: Das 07:00h as 16:00h de segunda à quinta esexta-feira das 07:00h as 15:00h.* Agendamento: O horário e dia da entrega serão informados aofornecedorpelo telefone: (85) 33124389 / (85) 33124808. Enviar o XML eNF no e-mail: fiscal@crusoefoods.com.br, com ao menos um dia deantecedência para concluir o agendamento. Caso o veiculo não se apresente no dia e horario agendado, será necessário fazer um novo agendamento.* Tipo de veiculo: Van, HR ¾, TOCO, TRUCK, ou CARRETA, (baú fechado –inclusive “sider.”). O veículo de entrega deverá ter piso adequado paradescarga com paleteira pela traseira do mesmo e deve ter no mínimo 1,20m de altura. A mercadoria a ser entregue deve estar dentro dos padrõesdimensões do pallet até - 1,00 x 1,20x 0,14; sendo que a altura máximado palete com mercadoria não ultrapasse 1,50 m (mercadoria + PALETE).* Não serão recepcionadas pelo CD as cargas com paletes remontadosintercaladamente ou com vários produtos misturados no mesmo para quenãohaja</t>
  </si>
  <si>
    <t>IP01/05-26</t>
  </si>
  <si>
    <t>358584/10</t>
  </si>
  <si>
    <t>6926846</t>
  </si>
  <si>
    <t>342769/10</t>
  </si>
  <si>
    <t>KARNE KEIJ 2</t>
  </si>
  <si>
    <t>361391/10</t>
  </si>
  <si>
    <t>80694290</t>
  </si>
  <si>
    <t>ASA RECIFE</t>
  </si>
  <si>
    <t>Recife PE</t>
  </si>
  <si>
    <t>557.217</t>
  </si>
  <si>
    <t>TIPO DE VEÍCULO: Qualquer tipoEQUIPAMENTO PARA DESCARGA: EmpilhadeiraAGENDA: nãoAJUDANTES: NãoHORARIO DE RECEBIMENTO: 08 as 16RECEBE PALETE REMONTADO: SimOTIMIZADO COM OUTROS CLIENTES: Sim</t>
  </si>
  <si>
    <t>356281/10</t>
  </si>
  <si>
    <t>80696204</t>
  </si>
  <si>
    <t>TESS IND</t>
  </si>
  <si>
    <t>Campina Grande PB</t>
  </si>
  <si>
    <t>80423</t>
  </si>
  <si>
    <t>ATENÇÃO NÃO ENVIAR VOLUME A CIMA DO SOLICITADO NA OC- RISCO DE DEVOLUÇÃO. --SF--&gt;</t>
  </si>
  <si>
    <t>342607/10</t>
  </si>
  <si>
    <t>80687602</t>
  </si>
  <si>
    <t>BENTONIT NE</t>
  </si>
  <si>
    <t>Boa Vista PB</t>
  </si>
  <si>
    <t>063551</t>
  </si>
  <si>
    <t>RECEBIMENTO: SEGUNDA A SEXTA DAS 08:00 AS 16:00 HORASTIPO DE VEICULO: QUALQUER TIPOEQUIPAMENTO PARA DESCARGA: EMPILHADEIRARECEBE PALETE REMONTADO: SIMOTIMIZADO COM OUTROS CLIENTES: SIMACEITA ANTECIPAÇÃO DE ENTREGA: NÃOENTREGA AGENDADA: NÃOOBS: CLIENTE NÃO TEM RECEBIMENTO NOS 3 ULTIMOS DIAS UTEIS DO MES.CLIENTE POSSUI OTIF --SF--&gt;</t>
  </si>
  <si>
    <t>IP02/05-26</t>
  </si>
  <si>
    <t>322370/10</t>
  </si>
  <si>
    <t>80696209</t>
  </si>
  <si>
    <t>IP03/05-26</t>
  </si>
  <si>
    <t>80697540</t>
  </si>
  <si>
    <t>ATENÇÃO: ENVIAR O MATERIAL EM VEICULO BAU COM O ASSOALHO EM BOM ESTADO,DE PREFERENCIA DE FERRO, POIS A DESCARGA DO CLIENTE É FEITA PELA DOCA EA PALETEIRA PRECISA ACESSAR O VEICULO PARA PUXAR O MATERIAL. NÃO ENVIARPALETE REMONTADO. RECEBIMENTO DE SEGUNDA A QUINTA DAS 08:00 AS 15:00HORAS, E SEXTA DAS 07:00 AS 14:00 HORAS. --SF--&gt; FATURAMENTO DENTRO DOMES DA ENTREGA, NAO REMONTAR POIS ENCOSTA NA DOCA PARA DESCARREGAR NAPALETEIRA MANUAL.</t>
  </si>
  <si>
    <t>342608/10</t>
  </si>
  <si>
    <t>80692330</t>
  </si>
  <si>
    <t>063552</t>
  </si>
  <si>
    <t>IP04/05-26</t>
  </si>
  <si>
    <t>367131/10</t>
  </si>
  <si>
    <t>80697725</t>
  </si>
  <si>
    <t>Salvador BA</t>
  </si>
  <si>
    <t>450811548</t>
  </si>
  <si>
    <t>DIA E HORÁRIO DE RECEBIMENTO: Segunda Sexta 08h às 11h e 13h às 16hTIPO DE VEÍCULO: Truck, Carreta, Bau, Sider (Preferencia)EQUIPAMENTO PARA RECEBIMENTOENTREGA AGENDADA: SimE-MAIL PARA AGENDAMENTO:marcelapascoal@jmacedo.com.br;joaysaraujo@jmacedo.com.br; jorgelembranca@jmacedo.com.brOTIMIZADO COM OUTROS CLIENTES:SIM. Em urgência negociaremos dedicadoRECEBE PALLET REMONTADO: NÃOACEITA ANTECIPAÇÃO DE ENTREGA: NECESSARIO NEGOCIAR (QUANDO HOUVER)COMPLEMENTO LOGÍSTICO: Calçado fechado, calça, faixa refletivaNÃO CARREGAR PALETES JMACEDO SOB PALETES DE OUTROS CLIENTES NOCARREGAMENTO (RACAP 315/19)NÃO PODE SER FATURADO MAIS DE UMA OP DO MESMO ITEM NA MESMA NF. NÃO PODETER ATRASOS DE ENTREGA</t>
  </si>
  <si>
    <t>367141/10</t>
  </si>
  <si>
    <t>80697720</t>
  </si>
  <si>
    <t>450811551</t>
  </si>
  <si>
    <t>365022/10</t>
  </si>
  <si>
    <t>80696211</t>
  </si>
  <si>
    <t>REUNIDAS BA</t>
  </si>
  <si>
    <t>189310</t>
  </si>
  <si>
    <t>Recebimento: Seg – Qui: 07:00 á 15:00 hs / Sextas: 07:00 ás 13:00hs.Agendar entrega no e-mail: thais.hs@rfonte.com.br ejeane.ja@rfonte.com.br --SF--&gt;</t>
  </si>
  <si>
    <t>348202/40</t>
  </si>
  <si>
    <t>80686614</t>
  </si>
  <si>
    <t>IP05/05-26</t>
  </si>
  <si>
    <t>J MACEDO</t>
  </si>
  <si>
    <t>326808/60</t>
  </si>
  <si>
    <t>80698912</t>
  </si>
  <si>
    <t>326802/21</t>
  </si>
  <si>
    <t>80697003</t>
  </si>
  <si>
    <t>352300/10</t>
  </si>
  <si>
    <t>80698232</t>
  </si>
  <si>
    <t>1700125899</t>
  </si>
  <si>
    <t>326805/20</t>
  </si>
  <si>
    <t>80697002</t>
  </si>
  <si>
    <t>IP06/05-26</t>
  </si>
  <si>
    <t>IP07/05-26</t>
  </si>
  <si>
    <t>343304/50</t>
  </si>
  <si>
    <t>80696723</t>
  </si>
  <si>
    <t xml:space="preserve">POLE </t>
  </si>
  <si>
    <t>343304/60</t>
  </si>
  <si>
    <t>80697006</t>
  </si>
  <si>
    <t>327042/80</t>
  </si>
  <si>
    <t>80691086</t>
  </si>
  <si>
    <t>326793/70</t>
  </si>
  <si>
    <t>80691084</t>
  </si>
  <si>
    <t>326793/100</t>
  </si>
  <si>
    <t>80699032</t>
  </si>
  <si>
    <t>IP08/05-26</t>
  </si>
  <si>
    <t>344601/40</t>
  </si>
  <si>
    <t>HA1799</t>
  </si>
  <si>
    <t>PELICULA DE PLASTICO SH 800X0,035MM</t>
  </si>
  <si>
    <t>1141</t>
  </si>
  <si>
    <t>343041/50</t>
  </si>
  <si>
    <t>80697004</t>
  </si>
  <si>
    <t>HA2152</t>
  </si>
  <si>
    <t>PELICULA DE PLASTICO SH 1000X0,040MM</t>
  </si>
  <si>
    <t>Nº 1111</t>
  </si>
  <si>
    <t>344601/90</t>
  </si>
  <si>
    <t>80697005</t>
  </si>
  <si>
    <t>80697001</t>
  </si>
  <si>
    <t>349122/10</t>
  </si>
  <si>
    <t>80698539</t>
  </si>
  <si>
    <t>1155</t>
  </si>
  <si>
    <t>IP09/05-26</t>
  </si>
  <si>
    <t>326808/70</t>
  </si>
  <si>
    <t>80699034</t>
  </si>
  <si>
    <t>335400/20</t>
  </si>
  <si>
    <t>80691085</t>
  </si>
  <si>
    <t>J.MACEDO SIM</t>
  </si>
  <si>
    <t>Simões Filho BA</t>
  </si>
  <si>
    <t>450802464</t>
  </si>
  <si>
    <t>HORÁRIO DE RECEBIMENTO: 07 às 16:30h Chegada de veículo até as 15HTIPO DE VEICULO: QUALQUER TIPOEQUIPAMENTO PARA RECEBIMENTO: EMPILHADEIRAENTREGA AGENDADA: NÃOOTIMIZADO COM OUTROS CLIENTES: SIM RECEBE PALLET REMONTADO: NÃO ACEITAANTECIPAÇÃO DE ENTREGA: NÃO **** ******************************************** ENVIAR O PACKING LIST JUNTO COM A NF EM TODAS AS ENTREGAS*****</t>
  </si>
  <si>
    <t>IP10/05-26</t>
  </si>
  <si>
    <t>326793/40</t>
  </si>
  <si>
    <t>80700671</t>
  </si>
  <si>
    <t>326793/80</t>
  </si>
  <si>
    <t>80700672</t>
  </si>
  <si>
    <t>IP11/05-26</t>
  </si>
  <si>
    <t>326801/11</t>
  </si>
  <si>
    <t>80699031</t>
  </si>
  <si>
    <t>326801/50</t>
  </si>
  <si>
    <t>80699030</t>
  </si>
  <si>
    <t>IP12/05-26</t>
  </si>
  <si>
    <t>326803/40</t>
  </si>
  <si>
    <t>80700664</t>
  </si>
  <si>
    <t>364181/10</t>
  </si>
  <si>
    <t>80693386</t>
  </si>
  <si>
    <t>LOMAPE MA</t>
  </si>
  <si>
    <t>Lima Campos MA</t>
  </si>
  <si>
    <t>IP13/05-26</t>
  </si>
  <si>
    <t>342601/10</t>
  </si>
  <si>
    <t>80697054</t>
  </si>
  <si>
    <t>063553</t>
  </si>
  <si>
    <t>RECEBIMENTO: SEGUNDA A SEXTA DAS 08:00 AS 16:00 HORASTIPO DE VEICULO: QUALQUER TIPOEQUIPAMENTO PARA DESCARGA: EMPILHADEIRARECEBE PALETE REMONTADO: SIMOTIMIZADO COM OUTROS CLIENTES: SIMACEITA ANTECIPAÇÃO DE ENTREGA: NÃOENTREGA AGENDADA: NÃOOBS: CLIENTE NÃO TEM RECEBIMENTO NOS 3 ULTIMOS DIAS UTEIS DO MES.CLIENTE POSSUI OTIF --SF--&gt;OBRIGATÓRIO ENVIAR LAUDO FÍSICO JUNTO COM A CARGA</t>
  </si>
  <si>
    <t>367432/10</t>
  </si>
  <si>
    <t>80701492</t>
  </si>
  <si>
    <t>326807/50</t>
  </si>
  <si>
    <t>80701368</t>
  </si>
  <si>
    <t>IP14/05-26</t>
  </si>
  <si>
    <t>326801/40</t>
  </si>
  <si>
    <t>80701020</t>
  </si>
  <si>
    <t>IP15/05-26</t>
  </si>
  <si>
    <t>326793/90</t>
  </si>
  <si>
    <t>80701369</t>
  </si>
  <si>
    <t>360547/20</t>
  </si>
  <si>
    <t>80698236</t>
  </si>
  <si>
    <t>366354/10</t>
  </si>
  <si>
    <t>80701764</t>
  </si>
  <si>
    <t>3060013520</t>
  </si>
  <si>
    <t>366354/30</t>
  </si>
  <si>
    <t>80701765</t>
  </si>
  <si>
    <t>IP16/05-26</t>
  </si>
  <si>
    <t>358584/20</t>
  </si>
  <si>
    <t>80699039</t>
  </si>
  <si>
    <t>326805/40</t>
  </si>
  <si>
    <t>80701021</t>
  </si>
  <si>
    <t>367131/20</t>
  </si>
  <si>
    <t>80701028</t>
  </si>
  <si>
    <t>J.MACEDO SAL</t>
  </si>
  <si>
    <t>IP17/05-26</t>
  </si>
  <si>
    <t>368558/20</t>
  </si>
  <si>
    <t>80702416</t>
  </si>
  <si>
    <t>PLASTPAK COMERCIO DE EMBALAGENS LTDA</t>
  </si>
  <si>
    <t>Camaçari BA</t>
  </si>
  <si>
    <t>PALLETS TRAVADOSNão aceitam pallets travados. clientes não dispõe de rampa parao recebimento dos pedidos em caminhões baú em pallet travadoTipo de veículo: Aberto, saider ou baú;Horário de recebimento: Das 8hàs11h e das 13h às 16h; Recebe otimizado com outros clientes: Sim;Recebe pallet remontado: Sim; Não é necessário agendamento; Aceitaantecipação de entrega; Não precisa enviar ajudantes.</t>
  </si>
  <si>
    <t>368558/10</t>
  </si>
  <si>
    <t>80702418</t>
  </si>
  <si>
    <t>368570/10</t>
  </si>
  <si>
    <t>80701951</t>
  </si>
  <si>
    <t>HA2649</t>
  </si>
  <si>
    <t>PELICULA DE PLASTICO SH 1180X0,060MM</t>
  </si>
  <si>
    <t>367890/10</t>
  </si>
  <si>
    <t>80701948</t>
  </si>
  <si>
    <t>HA0939</t>
  </si>
  <si>
    <t>IP18/05-26</t>
  </si>
  <si>
    <t>361367/10</t>
  </si>
  <si>
    <t>80702746</t>
  </si>
  <si>
    <t>361367/30</t>
  </si>
  <si>
    <t>80702747</t>
  </si>
  <si>
    <t>361367/50</t>
  </si>
  <si>
    <t>80702748</t>
  </si>
  <si>
    <t>361367/70</t>
  </si>
  <si>
    <t>80702749</t>
  </si>
  <si>
    <t>361367/90</t>
  </si>
  <si>
    <t>80702750</t>
  </si>
  <si>
    <t>360260/10</t>
  </si>
  <si>
    <t>80701954</t>
  </si>
  <si>
    <t>SUMITOMO</t>
  </si>
  <si>
    <t>059654</t>
  </si>
  <si>
    <t>DIA E HORÁRIO DE RECEBIMENTO: Segunda-feira a sexta- feira :08h00 às 11h30min e das 13h00 às 16h00TIPO DE VEÍCULO: QUALQUER TIPO:Não recebe em veiculo toco, graneleiro e qualquer veiculo cujo o piso não seja capaz de suportar o peso de uma empilhadeira carregada com4 toneladas.EQUIPAMENTO PARA RECEBIMENTO: EMPILHADEIRAENTREGA AGENDADA: NÃOE-MAIL PARA AGENDAMENTO: AGENDAR ATRAVÉS DO LINK: https://sumitomo.brasilrisk.com.br/Login?loggedOut=falseOTIMIZADO COM OUTROS CLIENTES: SIM -Porém o clientenão movimenta material de outros clientes para retirar o dele.RECEBE PALLET REMONTADO: NÃORECEBE PALLET SOBREPOSTO: NÃORECEBE PALLET UNITIZADO: NÃOACEITA ANTECIPAÇÃO DE ENTREGA: SIMNECESSITA DE AJUDANTE PARA A DESCARGA?: NÃOPOSSUI CUSTO EXTRA PARA A DESCARGA? QUAL O VALOR?: NÃOCOMPLEMENTO LOGÍSTICO: Obrigatório o uso de EPI'S:Capacete segurança, óculos, camisa de manga longa, bota e calça comprida.Se necessário Colete Refletivo. * Obrigatório o envio do laudo junto a carga. Reforçamos a importânci</t>
  </si>
  <si>
    <t>362729/10</t>
  </si>
  <si>
    <t>80701955</t>
  </si>
  <si>
    <t>059742</t>
  </si>
  <si>
    <t>IP19/05-26</t>
  </si>
  <si>
    <t>370325/50</t>
  </si>
  <si>
    <t>80702755</t>
  </si>
  <si>
    <t>HA1490</t>
  </si>
  <si>
    <t>370325/40</t>
  </si>
  <si>
    <t>80702754</t>
  </si>
  <si>
    <t>HA1862</t>
  </si>
  <si>
    <t>370325/10</t>
  </si>
  <si>
    <t>80702751</t>
  </si>
  <si>
    <t>370325/30</t>
  </si>
  <si>
    <t>80702753</t>
  </si>
  <si>
    <t>HA0773</t>
  </si>
  <si>
    <t>370325/20</t>
  </si>
  <si>
    <t>80702752</t>
  </si>
  <si>
    <t>IP20/05-26</t>
  </si>
  <si>
    <t>368983/10</t>
  </si>
  <si>
    <t>80703656</t>
  </si>
  <si>
    <t>370359/10</t>
  </si>
  <si>
    <t>80703275</t>
  </si>
  <si>
    <t>317473</t>
  </si>
  <si>
    <t xml:space="preserve"> --SF--&gt; ATENDIMENTO POR IPOJUCA - Horário de recebimento: Seg a Qui:07:00 ás 11:30hs e de 13:00 ás 16:30hs -- Sex: 07:00 ás 11:30hs e de13:00 ás 15:30hs</t>
  </si>
  <si>
    <t>370364/10</t>
  </si>
  <si>
    <t>80703276</t>
  </si>
  <si>
    <t>594993</t>
  </si>
  <si>
    <t xml:space="preserve"> --SF--&gt; ATENDIMENTO VIA IPOJUCA RECEBIMENTO: Seg a Qui: 07:00 ás11:00hs e de 13:00 ás 16:00hs -- Sex: 07:00 ás 11:00hs e de 13:00 ás15:00hs</t>
  </si>
  <si>
    <t>370364/20</t>
  </si>
  <si>
    <t>80704709</t>
  </si>
  <si>
    <t>370364/30</t>
  </si>
  <si>
    <t>80704710</t>
  </si>
  <si>
    <t>AMORIM &amp; CIA LTDA.</t>
  </si>
  <si>
    <t>YPLASTIC EMBALAGENS PLASTICAS S.A</t>
  </si>
  <si>
    <t>NATURAGUA AGUAS MINERAIS INDUSTRIA E COM</t>
  </si>
  <si>
    <t>IP21/05-26</t>
  </si>
  <si>
    <t>326792/10</t>
  </si>
  <si>
    <t>80707106</t>
  </si>
  <si>
    <t>326799/40</t>
  </si>
  <si>
    <t>80707842</t>
  </si>
  <si>
    <t>HA0612</t>
  </si>
  <si>
    <t>326794/21</t>
  </si>
  <si>
    <t>80707993</t>
  </si>
  <si>
    <t>326792/30</t>
  </si>
  <si>
    <t>80707839</t>
  </si>
  <si>
    <t>327040/20</t>
  </si>
  <si>
    <t>80707847</t>
  </si>
  <si>
    <t>IP22/05-26</t>
  </si>
  <si>
    <t>343304/70</t>
  </si>
  <si>
    <t>80698604</t>
  </si>
  <si>
    <t>POLE ALIMENTOS LTDA</t>
  </si>
  <si>
    <t>374488/20</t>
  </si>
  <si>
    <t>80707562</t>
  </si>
  <si>
    <t>DELRIO REFRIGERANTES LTDA</t>
  </si>
  <si>
    <t>HA1059</t>
  </si>
  <si>
    <t>13948</t>
  </si>
  <si>
    <t>374488/10</t>
  </si>
  <si>
    <t>80707561</t>
  </si>
  <si>
    <t>IP23/05-26</t>
  </si>
  <si>
    <t>363684/10</t>
  </si>
  <si>
    <t>80701958</t>
  </si>
  <si>
    <t>162044/1</t>
  </si>
  <si>
    <t>369808/10</t>
  </si>
  <si>
    <t>80702417</t>
  </si>
  <si>
    <t>162385/1</t>
  </si>
  <si>
    <t>340758/20</t>
  </si>
  <si>
    <t>80702127</t>
  </si>
  <si>
    <t>GUARAVES PB</t>
  </si>
  <si>
    <t>Guarabira PB</t>
  </si>
  <si>
    <t>473588</t>
  </si>
  <si>
    <t>* Recebimento das 08:00 às 11:00 e das 14:00 às 17:00 horas, para oveiculo ser descarregado no mesmo dia precisa se apresentar até 12:00.* Enviar em veiculo Baú ou Sider, com plataforma e fechado.* A descarga é realizada com paleteira manual (Patinha).* Caso seja enviado palete remontado é necessário enviar ajudante pararealizar a descarga.* Aceita carga otimizado somente se a entrega do cliente for a primeiraa ser descarregada, o cliente não retira material de outros clientes doveiculo.* Não antecipar a entrega sem autorização do cliente.</t>
  </si>
  <si>
    <t>351062/10</t>
  </si>
  <si>
    <t>80702128</t>
  </si>
  <si>
    <t>494994</t>
  </si>
  <si>
    <t>* Recebimento das 08:00 às 11:00 e das 14:00 às 17:00 horas, para oveiculo ser descarregado no mesmo dia precisa se apresentar até 12:00.* Enviar em veiculo Baú ou Sider, com plataforma e fechado.* A descarga é realizada com paleteira manual (Patinha).* Caso seja enviado palete remontado é necessário enviar ajudante pararealizar a descarga.* Aceita carga otimizado somente se a entrega do cliente for a primeiraa ser descarregada, o cliente não retira material de outros clientes doveiculo.* Não antecipar a entrega sem autorização do cliente. --SF--&gt; SEGUIRJUNTO COM A O.V 340758 PARA OTIMIZAÇÃO DE CARGA. NÃO REMONTAR PALLETS.</t>
  </si>
  <si>
    <t>IP24/05-26</t>
  </si>
  <si>
    <t>375140/10</t>
  </si>
  <si>
    <t>008708</t>
  </si>
  <si>
    <t>IP25/05-26</t>
  </si>
  <si>
    <t>FOB</t>
  </si>
  <si>
    <t>363856/50</t>
  </si>
  <si>
    <t>80709551</t>
  </si>
  <si>
    <t>1302022623</t>
  </si>
  <si>
    <t>352296/10</t>
  </si>
  <si>
    <t>80709834</t>
  </si>
  <si>
    <t>IP26/05-26</t>
  </si>
  <si>
    <t>360216/10</t>
  </si>
  <si>
    <t>Lagarto SE</t>
  </si>
  <si>
    <t>SE</t>
  </si>
  <si>
    <t>DIA E HORÁRIO DE RECEBIMENTO: SEGUNDA A SEXTA 08H as 17:30TIPO DE VEÍCULO: 3/4/toco/truck/carretaTIPO DE CARROCERIA: grade baixa/sider/bau/conteinerEQUIPAMENTO PARA RECEBIMENTO: EMPILHADEIRAOTIMIZADO COM OUTROS CLIENTES: SIMRECEBE PALLET REMONTADO: SIMRECEBE PALLET SOBREPOSTO: NÃORECEBE PALLET UNITIZADO: NÃOACEITA ANTECIPAÇÃO DE ENTREGA: SIMCOMPLEMENTO LOGÍSTICO: n/a</t>
  </si>
  <si>
    <t>IP27/05-26</t>
  </si>
  <si>
    <t>Marata</t>
  </si>
  <si>
    <t>370590/10</t>
  </si>
  <si>
    <t>80704713</t>
  </si>
  <si>
    <t>8467228/L</t>
  </si>
  <si>
    <t>* Veiculo: Qualquer tipo.* Recebimento: Das 08 as 17 horas.* Recebe carga otimiza: Sim.* Palete remontado: Sim.* Cliente cobra descarga: Paletizada R$27,00 / Não paletizada R$37,00.FILME STRETCH (Por Pallet filmado) UNIDADE R$ 8,00, será cobrado umvalor de R$8,00 a mais por palete para todos os itens que não vierempaletizados (carga batida).* Agendar entrega: Tel (86) 9575-5919 Cd Varejo / email:recebimentocdvanguarda@grupovanguarda.com --SF--&gt;</t>
  </si>
  <si>
    <t>322359/10</t>
  </si>
  <si>
    <t>80711176</t>
  </si>
  <si>
    <t>IP28/05-26</t>
  </si>
  <si>
    <t>374695/40</t>
  </si>
  <si>
    <t>80712783</t>
  </si>
  <si>
    <t>90900</t>
  </si>
  <si>
    <t>374695/30</t>
  </si>
  <si>
    <t>80712781</t>
  </si>
  <si>
    <t>HA2281</t>
  </si>
  <si>
    <t>374695/20</t>
  </si>
  <si>
    <t>80712779</t>
  </si>
  <si>
    <t>374695/50</t>
  </si>
  <si>
    <t>80712785</t>
  </si>
  <si>
    <t>374695/60</t>
  </si>
  <si>
    <t>80712786</t>
  </si>
  <si>
    <t>374695/10</t>
  </si>
  <si>
    <t>80712776</t>
  </si>
  <si>
    <t>IP29/05-26</t>
  </si>
  <si>
    <t>349091/30</t>
  </si>
  <si>
    <t>80704267</t>
  </si>
  <si>
    <t>349095/20</t>
  </si>
  <si>
    <t>80704269</t>
  </si>
  <si>
    <t>IP30/05-26</t>
  </si>
  <si>
    <t>374695/41</t>
  </si>
  <si>
    <t>80713439</t>
  </si>
  <si>
    <t>359748/10</t>
  </si>
  <si>
    <t>80704174</t>
  </si>
  <si>
    <t>BENTONIT CGE PB</t>
  </si>
  <si>
    <t>CAMPINA GRANDE PB</t>
  </si>
  <si>
    <t>021669</t>
  </si>
  <si>
    <t>HORÁRIO DE RECEBIMENTO 08:00 às 16:00TIPO DE VEÍCULO: QUALQUER TIPOEQUIPAMENTO PARA RECEBIMENTO: EMPILHADEIRAENTREGA AGENDADA: NÃOOTIMIZADO COM OUTROS CLIENTES: SIMRECEBE PALETE REMONTADO: SIMACEITA ANTECIPAÇÃO DE ENTREGA: NÃOCLIENTE NÃO POSSUI RECEBIMENTO NOS 3 ÚLTIMOS DIAS UTEIS DO MÊS.CLIENTE POSSUI OTIF. --SF--&gt;OBRIGATÓRIO ENVIAR LAUDO FÍSICO JUNTO COM A CARGA</t>
  </si>
  <si>
    <t>354140/10</t>
  </si>
  <si>
    <t>80713249</t>
  </si>
  <si>
    <t>532164</t>
  </si>
  <si>
    <t>359002/10</t>
  </si>
  <si>
    <t>80713284</t>
  </si>
  <si>
    <t>LAMINOR</t>
  </si>
  <si>
    <t>00111776</t>
  </si>
  <si>
    <t>Atenção: Não temos recebimento no ultimo dia do mês. Dia e Horario derecebimento: Segunda a sexta - das 8 as 16:40. Tipo de veiculo: Truck /Carreta. Equipamento para recebimento: Paleteira. Agendar entrega noemail: marcos.p.silva@huhtamaki.com. Otimizado com outros clientes: Sim.Recebe palete remontado: Sim. Aceita antecipar entrega: Somenteagendado.CLIENTE COM TOLERÂNCIA NO RECEBIMENTO, NÃO ENVIAR MAIS QUE O PEDIDO </t>
  </si>
  <si>
    <t>IP31/05-26</t>
  </si>
  <si>
    <t>343304/80</t>
  </si>
  <si>
    <t>80702132</t>
  </si>
  <si>
    <t>374506/10</t>
  </si>
  <si>
    <t>80707703</t>
  </si>
  <si>
    <t>94104</t>
  </si>
  <si>
    <t>incluir na observação da nota o número de pedido e a quantidade debobinas referente a essa nota.  --SF--&gt; ATENDIMENTO IPOJUCA -RECEBIMENTO: SEGUNDA-FEIRA a QUINTA FEIRA das 08h às 11h e das 13h às16h e SEXTA-FEIRA das 08h às 11h e das 13h às 14h</t>
  </si>
  <si>
    <t>POLE</t>
  </si>
  <si>
    <t>364588/20</t>
  </si>
  <si>
    <t>80710281</t>
  </si>
  <si>
    <t>372189/10</t>
  </si>
  <si>
    <t>80706037</t>
  </si>
  <si>
    <t>PENHA BA</t>
  </si>
  <si>
    <t>Bruna Ligabo</t>
  </si>
  <si>
    <t>0014185</t>
  </si>
  <si>
    <t>HORÁRIO DE RECEBIMENTO DAS 7H30 AS 16H00TIPO DE VEICULO QUALQUER TIPOEQUIPAMENTO PARA RECEBIMENTO EMPILHADEIRAENTREGA AGENDADA NÃO OTIMIZADO COM OUTROS CLIENTES SIMRECEBE PALLET REMONTADO SIMACEITA ANTECIPAÇÃO DE ENTREGA NÃO</t>
  </si>
  <si>
    <t>IP32/05-26</t>
  </si>
  <si>
    <t>369861/10</t>
  </si>
  <si>
    <t>80712112</t>
  </si>
  <si>
    <t>.</t>
  </si>
  <si>
    <t>* RECEBIMENTO DAS 08:00 AS 16:00 HORAS.* TIPO DE VEICULO: SIDER, NÃO RECEBEM EM VEICULO BAU.* EQUIPAMENTO PARA DESCARGA: EMPILHADEIRA.* RECEBE PALETE REMONTADO: SIM.* OTIMIZADO COM OUTROS CLIENTES: SIM.* AGENDAMENTO DE ENTREGA: NÃO.* ACEITA ANTECIPAÇÃO DE ENTREGA: NÃO, PRECISA SER AUTORIZADO ANTES.</t>
  </si>
  <si>
    <t>369861/20</t>
  </si>
  <si>
    <t>80712111</t>
  </si>
  <si>
    <t>369861/30</t>
  </si>
  <si>
    <t>80712109</t>
  </si>
  <si>
    <t>369861/40</t>
  </si>
  <si>
    <t>80712110</t>
  </si>
  <si>
    <t>369861/50</t>
  </si>
  <si>
    <t>80712113</t>
  </si>
  <si>
    <t>IP01/06-26</t>
  </si>
  <si>
    <t>378201/10</t>
  </si>
  <si>
    <t>80714505</t>
  </si>
  <si>
    <t>364589/60</t>
  </si>
  <si>
    <t>80709010</t>
  </si>
  <si>
    <t>1302022798</t>
  </si>
  <si>
    <t>"Não enviar carro tipo Bi-trem para a unidade da Solar de São Luiz".OBRIGATORIEDADE NO ENVIO DE LAUDO DE QUALIDADE EM FORMATO FÍSICO.Horário de Recebimento: De segunda a sexta &gt; das 08H às 16H.Tipo de Veículo: SIDER / NÃO ACEITA VEÍCULO BAÚ.  NÃO ÉNECESSÁRIO AGENDAMENTO.E-MAIL DE CONTATO COM RECEBIMENTO: ma.almox@solarbr.com.br ENTREGA PODE SER OTIMIZADA COM OUTROS CLIENTE.ACEITA PALETEREMONTADO.NÃO É NECESSÁRIO AJUDANTE. CLIENTE ACEITA ANTECIPAÇÃO.*ATENÇÃO AO ENVIO DO LAUDO JUNTO A CARGA.*VEÍCULOS: SIDEREQUIPAMENTOS DISPONÍVEIS : Empilhadeira /EXIGÊNCIAS DE SEGURANÇA: Calço do veículo e motorista com capacete,botina, colete refletivoHavendo redirecionamento, seguir o endereço alternativo (alinhado na contratação).ENDEREÇO ALTERNATIVO: Rua Principal, 3027 –Rodovia MA 301 ·, KM 3,5 - Itapera, São Luís - MACEP:  65.092-115 --SF--&gt; ATENDIMENTO POR IPOJUCA</t>
  </si>
  <si>
    <t>IP02/06-26</t>
  </si>
  <si>
    <t>374719/10</t>
  </si>
  <si>
    <t>80714790</t>
  </si>
  <si>
    <t>185632</t>
  </si>
  <si>
    <t>IP03/06-26</t>
  </si>
  <si>
    <t>379505/10</t>
  </si>
  <si>
    <t>80717092</t>
  </si>
  <si>
    <t>IP04/06-26</t>
  </si>
  <si>
    <t>379505/21</t>
  </si>
  <si>
    <t>80717095</t>
  </si>
  <si>
    <t>379505/20</t>
  </si>
  <si>
    <t>80717094</t>
  </si>
  <si>
    <t>IP05/06-26</t>
  </si>
  <si>
    <t>362844/10</t>
  </si>
  <si>
    <t>80709014</t>
  </si>
  <si>
    <t>Bianca Souza</t>
  </si>
  <si>
    <t>450809227</t>
  </si>
  <si>
    <t>379161/10</t>
  </si>
  <si>
    <t>80716396</t>
  </si>
  <si>
    <t>450815585</t>
  </si>
  <si>
    <t>80716310</t>
  </si>
  <si>
    <t>PELICULA DE PLASTICO SH 600X0,080MM</t>
  </si>
  <si>
    <t>378644/10</t>
  </si>
  <si>
    <t>80715475</t>
  </si>
  <si>
    <t>SQM VITAS</t>
  </si>
  <si>
    <t>CANDEIAS BA</t>
  </si>
  <si>
    <t>130643</t>
  </si>
  <si>
    <t>IP06/06-26</t>
  </si>
  <si>
    <t>364588/10</t>
  </si>
  <si>
    <t>80716308</t>
  </si>
  <si>
    <t>364595/20</t>
  </si>
  <si>
    <t>80710284</t>
  </si>
  <si>
    <t>364595/10</t>
  </si>
  <si>
    <t>80710283</t>
  </si>
  <si>
    <t>IP07/06-26</t>
  </si>
  <si>
    <t>364589/10</t>
  </si>
  <si>
    <t>80709012</t>
  </si>
  <si>
    <t>364589/40</t>
  </si>
  <si>
    <t>80709013</t>
  </si>
  <si>
    <t>364594/20</t>
  </si>
  <si>
    <t>80709016</t>
  </si>
  <si>
    <t>IP08/06-26</t>
  </si>
  <si>
    <t>363857/10</t>
  </si>
  <si>
    <t>80716307</t>
  </si>
  <si>
    <t>IP09/06-26</t>
  </si>
  <si>
    <t>363857/20</t>
  </si>
  <si>
    <t>80710280</t>
  </si>
  <si>
    <t>363856/10</t>
  </si>
  <si>
    <t>80710126</t>
  </si>
  <si>
    <t>363856/40</t>
  </si>
  <si>
    <t>80710127</t>
  </si>
  <si>
    <t>IP10/06-26</t>
  </si>
  <si>
    <t>377719/10</t>
  </si>
  <si>
    <t>80714037</t>
  </si>
  <si>
    <t>595510</t>
  </si>
  <si>
    <t xml:space="preserve"> --SF--&gt; ATENDIMENTO POR IPOJUCA - RECEBIMENTO: Seg a Qui: 07:00 ás11:00hs e de 13:00 ás 16:00hs -- Sex: 07:00 ás 11:00hs e de 13:00 ás15:00hs</t>
  </si>
  <si>
    <t>377068/10</t>
  </si>
  <si>
    <t>80713157</t>
  </si>
  <si>
    <t>254635</t>
  </si>
  <si>
    <t>DIA E HORÁRIO DE RECEBIMENTO: SEGUNDA QUINTA 07H - 11H 13H - 16HSEXTA 07H - 11 E 13H - 15HTIPO DE VEÍCULO: QUALQUER TIPOTIPO DE CARROCERIA: QUALQUER TIPOEQUIPAMENTO PARA RECEBIMENTO: EMPILHADEIRAOTIMIZADO COM OUTROS CLIENTES: SIMRECEBE PALLET REMONTADO: SIMRECEBE PALLET SOBREPOSTO: NÃORECEBE PALLET UNITIZADO: NÃOACEITA ANTECIPAÇÃO DE ENTREGA: NÃOCOMPLEMENTO LOGÍSTICO: n/a --SF--&gt; ATENDIMENTO POR IPOJUCA</t>
  </si>
  <si>
    <t>343304/90</t>
  </si>
  <si>
    <t>80707958</t>
  </si>
  <si>
    <t>364591/10</t>
  </si>
  <si>
    <t>80710129</t>
  </si>
  <si>
    <t>363856/51</t>
  </si>
  <si>
    <t>80710125</t>
  </si>
  <si>
    <t>IP11/06-26</t>
  </si>
  <si>
    <t>379750/10</t>
  </si>
  <si>
    <t>SA0877</t>
  </si>
  <si>
    <t>379750/20</t>
  </si>
  <si>
    <t>IP12/06-26</t>
  </si>
  <si>
    <t>IP13/06-26</t>
  </si>
  <si>
    <t>INOVE</t>
  </si>
  <si>
    <t>370900/10</t>
  </si>
  <si>
    <t>80717702</t>
  </si>
  <si>
    <t>6991113</t>
  </si>
  <si>
    <t>370900/20</t>
  </si>
  <si>
    <t>80717703</t>
  </si>
  <si>
    <t>SA0208</t>
  </si>
  <si>
    <t>363684/20</t>
  </si>
  <si>
    <t>80707959</t>
  </si>
  <si>
    <t>377949/10</t>
  </si>
  <si>
    <t>80714666</t>
  </si>
  <si>
    <t>1316.23</t>
  </si>
  <si>
    <t>IP14/06-26</t>
  </si>
  <si>
    <t>364592/10</t>
  </si>
  <si>
    <t>80710285</t>
  </si>
  <si>
    <t>363857/30</t>
  </si>
  <si>
    <t>80710279</t>
  </si>
  <si>
    <t>IP15/06-26</t>
  </si>
  <si>
    <t>364589/20</t>
  </si>
  <si>
    <t>80709011</t>
  </si>
  <si>
    <t>364594/10</t>
  </si>
  <si>
    <t>80709015</t>
  </si>
  <si>
    <t>364589/30</t>
  </si>
  <si>
    <t>80718982</t>
  </si>
  <si>
    <t>IP16/06-26</t>
  </si>
  <si>
    <t>326793/21</t>
  </si>
  <si>
    <t>80717512</t>
  </si>
  <si>
    <t>364591/20</t>
  </si>
  <si>
    <t>80710130</t>
  </si>
  <si>
    <t>IP17/06-26</t>
  </si>
  <si>
    <t>380787/10</t>
  </si>
  <si>
    <t>80719403</t>
  </si>
  <si>
    <t>Paulista PE</t>
  </si>
  <si>
    <t>192.850</t>
  </si>
  <si>
    <t>* AGENDAR ENTREGA NOS E-MAILS: thais.hs@rfonte.com.br ejeane.ja@rfonte.com.br.Observações:- Solicitações de agendamento com 48h deantecedência de segunda-feira a quinta-feira 07h00 às16h00 e na sexta-feira 07h00 às 15h00.- Horário de recebimento de segunda a sexta-feira das 06:00 ás 21:00;- O veículo deverá se apresentar na portaria para entregada NF com 1 hora de antecedência ao agendamento;- O motorista e ajudantes deverão portar documento deidentificação com foto estar e vestido com calça, camisacom manga e bota;- Os mesmos deverão estar atentos à chamada no pátio, evitando A PERDA DA AGENDA.      - De acordo com a data agendada os veículos são liberados por ORDEM DE CHEGADA, lembrandode tratar os funcionários da IRRF com cordialidade. --SF--&gt;</t>
  </si>
  <si>
    <t>380328/10</t>
  </si>
  <si>
    <t>80718261</t>
  </si>
  <si>
    <t>BARATAO RN</t>
  </si>
  <si>
    <t>IP18/06-26</t>
  </si>
  <si>
    <t>354140/20</t>
  </si>
  <si>
    <t>80713576</t>
  </si>
  <si>
    <t>INDUSTRIAS REUNIDAS RAYMUNDO DA FONTE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</si>
</sst>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[$-416]d\-mmm;@"/>
    <numFmt numFmtId="166" formatCode="_(* #,##0.000_);_(* \(#,##0.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name val="Aptos Narrow"/>
      <family val="2"/>
    </font>
    <font>
      <sz val="11"/>
      <color theme="1"/>
      <name val="Arial"/>
      <family val="2"/>
    </font>
    <font>
      <b/>
      <sz val="11"/>
      <name val="Aptos Narrow"/>
      <family val="2"/>
      <scheme val="minor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C0E6F5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/>
    <xf numFmtId="164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8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5" fillId="0" borderId="6" xfId="0" applyNumberFormat="1" applyFont="1" applyBorder="1" applyAlignment="1">
      <alignment vertical="center" wrapText="1" readingOrder="1"/>
    </xf>
    <xf numFmtId="0" fontId="4" fillId="0" borderId="7" xfId="0" applyFont="1" applyBorder="1" applyAlignment="1">
      <alignment horizontal="center" readingOrder="1"/>
    </xf>
    <xf numFmtId="0" fontId="6" fillId="4" borderId="7" xfId="0" applyFont="1" applyFill="1" applyBorder="1" applyAlignment="1">
      <alignment readingOrder="1"/>
    </xf>
    <xf numFmtId="43" fontId="0" fillId="0" borderId="0" xfId="1" applyFont="1" applyAlignment="1">
      <alignment horizontal="center"/>
    </xf>
    <xf numFmtId="43" fontId="6" fillId="4" borderId="7" xfId="1" applyFont="1" applyFill="1" applyBorder="1" applyAlignment="1">
      <alignment horizontal="center" readingOrder="1"/>
    </xf>
    <xf numFmtId="0" fontId="7" fillId="0" borderId="8" xfId="0" applyFont="1" applyBorder="1" applyAlignment="1">
      <alignment horizontal="left" vertical="center"/>
    </xf>
    <xf numFmtId="16" fontId="2" fillId="0" borderId="9" xfId="0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center" readingOrder="1"/>
    </xf>
    <xf numFmtId="0" fontId="4" fillId="5" borderId="5" xfId="0" applyFont="1" applyFill="1" applyBorder="1" applyAlignment="1">
      <alignment horizontal="center" readingOrder="1"/>
    </xf>
    <xf numFmtId="16" fontId="7" fillId="0" borderId="13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readingOrder="1"/>
    </xf>
    <xf numFmtId="4" fontId="11" fillId="0" borderId="5" xfId="0" applyNumberFormat="1" applyFont="1" applyBorder="1" applyAlignment="1">
      <alignment horizontal="center" vertical="center" readingOrder="1"/>
    </xf>
    <xf numFmtId="2" fontId="11" fillId="0" borderId="5" xfId="0" applyNumberFormat="1" applyFont="1" applyBorder="1" applyAlignment="1">
      <alignment horizontal="center" vertical="center" readingOrder="1"/>
    </xf>
    <xf numFmtId="0" fontId="0" fillId="0" borderId="5" xfId="0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14" fontId="19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13" xfId="0" applyBorder="1" applyAlignment="1">
      <alignment horizontal="left" vertical="center"/>
    </xf>
    <xf numFmtId="16" fontId="0" fillId="0" borderId="13" xfId="0" applyNumberFormat="1" applyBorder="1" applyAlignment="1">
      <alignment horizontal="left" vertical="center"/>
    </xf>
    <xf numFmtId="16" fontId="0" fillId="0" borderId="13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/>
    </xf>
    <xf numFmtId="0" fontId="11" fillId="7" borderId="5" xfId="0" applyFont="1" applyFill="1" applyBorder="1" applyAlignment="1">
      <alignment horizontal="center" vertical="center" readingOrder="1"/>
    </xf>
    <xf numFmtId="0" fontId="0" fillId="0" borderId="0" xfId="0" applyAlignment="1">
      <alignment horizontal="left" vertical="center"/>
    </xf>
    <xf numFmtId="0" fontId="8" fillId="0" borderId="3" xfId="0" applyFont="1" applyBorder="1" applyAlignment="1" applyProtection="1">
      <alignment horizontal="center" vertical="center" readingOrder="1"/>
      <protection hidden="1"/>
    </xf>
    <xf numFmtId="4" fontId="8" fillId="0" borderId="5" xfId="0" applyNumberFormat="1" applyFont="1" applyBorder="1" applyAlignment="1" applyProtection="1">
      <alignment horizontal="center" vertical="center" readingOrder="1"/>
      <protection hidden="1"/>
    </xf>
    <xf numFmtId="0" fontId="8" fillId="0" borderId="5" xfId="0" applyFont="1" applyBorder="1" applyAlignment="1" applyProtection="1">
      <alignment horizontal="center" vertical="center" readingOrder="1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5" xfId="0" quotePrefix="1" applyFont="1" applyBorder="1" applyAlignment="1" applyProtection="1">
      <alignment horizontal="center" readingOrder="1"/>
      <protection hidden="1"/>
    </xf>
    <xf numFmtId="165" fontId="8" fillId="0" borderId="5" xfId="0" applyNumberFormat="1" applyFont="1" applyBorder="1" applyAlignment="1" applyProtection="1">
      <alignment horizontal="center" vertical="center" readingOrder="1"/>
      <protection hidden="1"/>
    </xf>
    <xf numFmtId="2" fontId="8" fillId="0" borderId="5" xfId="1" applyNumberFormat="1" applyFont="1" applyFill="1" applyBorder="1" applyAlignment="1" applyProtection="1">
      <alignment horizontal="center" vertical="center" readingOrder="1"/>
      <protection hidden="1"/>
    </xf>
    <xf numFmtId="2" fontId="8" fillId="0" borderId="5" xfId="0" applyNumberFormat="1" applyFont="1" applyBorder="1" applyAlignment="1" applyProtection="1">
      <alignment horizontal="center" vertical="center" readingOrder="1"/>
      <protection hidden="1"/>
    </xf>
    <xf numFmtId="1" fontId="8" fillId="0" borderId="5" xfId="1" applyNumberFormat="1" applyFont="1" applyFill="1" applyBorder="1" applyAlignment="1" applyProtection="1">
      <alignment horizontal="center" vertical="center" readingOrder="1"/>
      <protection hidden="1"/>
    </xf>
    <xf numFmtId="49" fontId="8" fillId="0" borderId="3" xfId="0" applyNumberFormat="1" applyFont="1" applyBorder="1" applyAlignment="1" applyProtection="1">
      <alignment horizontal="center" vertical="center" readingOrder="1"/>
      <protection hidden="1"/>
    </xf>
    <xf numFmtId="0" fontId="4" fillId="5" borderId="17" xfId="0" applyFont="1" applyFill="1" applyBorder="1" applyAlignment="1" applyProtection="1">
      <alignment horizontal="center" vertical="center" readingOrder="1"/>
      <protection hidden="1"/>
    </xf>
    <xf numFmtId="0" fontId="5" fillId="4" borderId="15" xfId="0" applyFont="1" applyFill="1" applyBorder="1" applyAlignment="1" applyProtection="1">
      <alignment horizontal="center" vertical="center" readingOrder="1"/>
      <protection hidden="1"/>
    </xf>
    <xf numFmtId="43" fontId="14" fillId="4" borderId="16" xfId="1" applyFont="1" applyFill="1" applyBorder="1" applyAlignment="1" applyProtection="1">
      <alignment horizontal="center" vertical="center" readingOrder="1"/>
      <protection hidden="1"/>
    </xf>
    <xf numFmtId="3" fontId="14" fillId="4" borderId="16" xfId="0" applyNumberFormat="1" applyFont="1" applyFill="1" applyBorder="1" applyAlignment="1" applyProtection="1">
      <alignment horizontal="center" vertical="center" readingOrder="1"/>
      <protection hidden="1"/>
    </xf>
    <xf numFmtId="0" fontId="4" fillId="5" borderId="10" xfId="0" applyFont="1" applyFill="1" applyBorder="1" applyAlignment="1" applyProtection="1">
      <alignment horizontal="center" readingOrder="1"/>
      <protection locked="0"/>
    </xf>
    <xf numFmtId="0" fontId="4" fillId="5" borderId="0" xfId="0" applyFont="1" applyFill="1" applyAlignment="1" applyProtection="1">
      <alignment horizontal="center" readingOrder="1"/>
      <protection locked="0"/>
    </xf>
    <xf numFmtId="0" fontId="4" fillId="5" borderId="11" xfId="0" applyFont="1" applyFill="1" applyBorder="1" applyAlignment="1" applyProtection="1">
      <alignment horizontal="center" readingOrder="1"/>
      <protection locked="0"/>
    </xf>
    <xf numFmtId="0" fontId="4" fillId="5" borderId="12" xfId="0" applyFont="1" applyFill="1" applyBorder="1" applyAlignment="1" applyProtection="1">
      <alignment horizontal="center" readingOrder="1"/>
      <protection locked="0"/>
    </xf>
    <xf numFmtId="43" fontId="4" fillId="5" borderId="12" xfId="1" applyFont="1" applyFill="1" applyBorder="1" applyAlignment="1" applyProtection="1">
      <alignment horizontal="center" readingOrder="1"/>
      <protection locked="0"/>
    </xf>
    <xf numFmtId="49" fontId="5" fillId="3" borderId="5" xfId="0" applyNumberFormat="1" applyFont="1" applyFill="1" applyBorder="1" applyAlignment="1" applyProtection="1">
      <alignment horizontal="center" vertical="center" wrapText="1" readingOrder="1"/>
      <protection locked="0"/>
    </xf>
    <xf numFmtId="166" fontId="20" fillId="0" borderId="0" xfId="8" applyNumberFormat="1" applyFont="1" applyFill="1" applyAlignment="1">
      <alignment horizontal="center"/>
    </xf>
    <xf numFmtId="164" fontId="20" fillId="0" borderId="0" xfId="8" applyFont="1" applyFill="1" applyBorder="1" applyAlignment="1">
      <alignment horizontal="center"/>
    </xf>
    <xf numFmtId="0" fontId="19" fillId="8" borderId="0" xfId="0" applyFont="1" applyFill="1"/>
    <xf numFmtId="4" fontId="0" fillId="0" borderId="0" xfId="0" applyNumberFormat="1"/>
    <xf numFmtId="49" fontId="0" fillId="0" borderId="0" xfId="0" applyNumberFormat="1" applyAlignment="1">
      <alignment horizontal="left"/>
    </xf>
    <xf numFmtId="0" fontId="13" fillId="5" borderId="18" xfId="0" applyFont="1" applyFill="1" applyBorder="1" applyAlignment="1" applyProtection="1">
      <alignment horizontal="center" vertical="center" readingOrder="1"/>
      <protection hidden="1"/>
    </xf>
    <xf numFmtId="0" fontId="13" fillId="5" borderId="19" xfId="0" applyFont="1" applyFill="1" applyBorder="1" applyAlignment="1" applyProtection="1">
      <alignment horizontal="center" vertical="center" readingOrder="1"/>
      <protection hidden="1"/>
    </xf>
    <xf numFmtId="0" fontId="13" fillId="5" borderId="20" xfId="0" applyFont="1" applyFill="1" applyBorder="1" applyAlignment="1" applyProtection="1">
      <alignment horizontal="center" vertical="center" readingOrder="1"/>
      <protection hidden="1"/>
    </xf>
    <xf numFmtId="0" fontId="5" fillId="3" borderId="21" xfId="0" applyFont="1" applyFill="1" applyBorder="1" applyAlignment="1" applyProtection="1">
      <alignment horizontal="center" vertical="center" readingOrder="1"/>
      <protection hidden="1"/>
    </xf>
    <xf numFmtId="0" fontId="5" fillId="3" borderId="22" xfId="0" applyFont="1" applyFill="1" applyBorder="1" applyAlignment="1" applyProtection="1">
      <alignment horizontal="center" vertical="center" readingOrder="1"/>
      <protection hidden="1"/>
    </xf>
    <xf numFmtId="0" fontId="5" fillId="3" borderId="14" xfId="0" applyFont="1" applyFill="1" applyBorder="1" applyAlignment="1" applyProtection="1">
      <alignment horizontal="center" vertical="center" readingOrder="1"/>
      <protection hidden="1"/>
    </xf>
    <xf numFmtId="0" fontId="14" fillId="4" borderId="21" xfId="0" applyFont="1" applyFill="1" applyBorder="1" applyAlignment="1" applyProtection="1">
      <alignment horizontal="center" vertical="center" readingOrder="1"/>
      <protection hidden="1"/>
    </xf>
    <xf numFmtId="0" fontId="14" fillId="4" borderId="22" xfId="0" applyFont="1" applyFill="1" applyBorder="1" applyAlignment="1" applyProtection="1">
      <alignment horizontal="center" vertical="center" readingOrder="1"/>
      <protection hidden="1"/>
    </xf>
    <xf numFmtId="0" fontId="14" fillId="4" borderId="14" xfId="0" applyFont="1" applyFill="1" applyBorder="1" applyAlignment="1" applyProtection="1">
      <alignment horizontal="center" vertical="center" readingOrder="1"/>
      <protection hidden="1"/>
    </xf>
    <xf numFmtId="0" fontId="9" fillId="4" borderId="23" xfId="0" applyFont="1" applyFill="1" applyBorder="1" applyAlignment="1" applyProtection="1">
      <alignment horizontal="center" vertical="center" wrapText="1" readingOrder="1"/>
      <protection hidden="1"/>
    </xf>
    <xf numFmtId="0" fontId="9" fillId="4" borderId="24" xfId="0" applyFont="1" applyFill="1" applyBorder="1" applyAlignment="1" applyProtection="1">
      <alignment horizontal="center" vertical="center" wrapText="1" readingOrder="1"/>
      <protection hidden="1"/>
    </xf>
    <xf numFmtId="0" fontId="9" fillId="4" borderId="25" xfId="0" applyFont="1" applyFill="1" applyBorder="1" applyAlignment="1" applyProtection="1">
      <alignment horizontal="center" vertical="center" wrapText="1" readingOrder="1"/>
      <protection hidden="1"/>
    </xf>
    <xf numFmtId="0" fontId="4" fillId="2" borderId="3" xfId="0" applyFont="1" applyFill="1" applyBorder="1" applyAlignment="1">
      <alignment horizontal="center" readingOrder="1"/>
    </xf>
    <xf numFmtId="0" fontId="4" fillId="2" borderId="4" xfId="0" applyFont="1" applyFill="1" applyBorder="1" applyAlignment="1">
      <alignment horizontal="center" readingOrder="1"/>
    </xf>
    <xf numFmtId="0" fontId="13" fillId="5" borderId="3" xfId="0" applyFont="1" applyFill="1" applyBorder="1" applyAlignment="1" applyProtection="1">
      <alignment horizontal="center" vertical="center" readingOrder="1"/>
      <protection hidden="1"/>
    </xf>
    <xf numFmtId="0" fontId="13" fillId="5" borderId="7" xfId="0" applyFont="1" applyFill="1" applyBorder="1" applyAlignment="1" applyProtection="1">
      <alignment horizontal="center" vertical="center" readingOrder="1"/>
      <protection hidden="1"/>
    </xf>
    <xf numFmtId="0" fontId="13" fillId="5" borderId="16" xfId="0" applyFont="1" applyFill="1" applyBorder="1" applyAlignment="1" applyProtection="1">
      <alignment horizontal="center" vertical="center" readingOrder="1"/>
      <protection hidden="1"/>
    </xf>
    <xf numFmtId="0" fontId="15" fillId="6" borderId="26" xfId="0" applyFont="1" applyFill="1" applyBorder="1" applyAlignment="1" applyProtection="1">
      <alignment horizontal="center" vertical="center"/>
      <protection hidden="1"/>
    </xf>
    <xf numFmtId="0" fontId="15" fillId="6" borderId="27" xfId="0" applyFont="1" applyFill="1" applyBorder="1" applyAlignment="1" applyProtection="1">
      <alignment horizontal="center" vertical="center"/>
      <protection hidden="1"/>
    </xf>
    <xf numFmtId="0" fontId="11" fillId="3" borderId="26" xfId="0" applyFont="1" applyFill="1" applyBorder="1" applyAlignment="1" applyProtection="1">
      <alignment horizontal="left" vertical="center" wrapText="1"/>
      <protection hidden="1"/>
    </xf>
    <xf numFmtId="0" fontId="11" fillId="3" borderId="28" xfId="0" applyFont="1" applyFill="1" applyBorder="1" applyAlignment="1" applyProtection="1">
      <alignment horizontal="left" vertical="center" wrapText="1"/>
      <protection hidden="1"/>
    </xf>
    <xf numFmtId="0" fontId="11" fillId="3" borderId="27" xfId="0" applyFont="1" applyFill="1" applyBorder="1" applyAlignment="1" applyProtection="1">
      <alignment horizontal="left" vertical="center" wrapText="1"/>
      <protection hidden="1"/>
    </xf>
  </cellXfs>
  <cellStyles count="14">
    <cellStyle name="Normal" xfId="0" builtinId="0"/>
    <cellStyle name="Normal 16" xfId="3" xr:uid="{0725B3A7-D350-47CB-8646-2E756E95B56C}"/>
    <cellStyle name="Normal 2 2" xfId="13" xr:uid="{FCC8E340-8450-47E3-8B8A-477C498BE32A}"/>
    <cellStyle name="Normal 22 3" xfId="4" xr:uid="{36E3ECF5-3527-4D5A-A251-FA41D6EE1031}"/>
    <cellStyle name="Normal 34" xfId="7" xr:uid="{BCC6A534-A73B-40D3-85B9-DBFF19E14F83}"/>
    <cellStyle name="Normal 38" xfId="9" xr:uid="{5D6E0130-293B-4E18-A319-072B36C7150D}"/>
    <cellStyle name="Normal 4" xfId="5" xr:uid="{AA71A599-8DE7-4F76-B013-3975A549F252}"/>
    <cellStyle name="Normal 41" xfId="10" xr:uid="{B7D5A732-8469-4607-916C-8BC538E20AA3}"/>
    <cellStyle name="Normal 42" xfId="11" xr:uid="{7160DCEB-0DBE-493C-AD48-338F55A00AE0}"/>
    <cellStyle name="Normal 43" xfId="12" xr:uid="{57F49343-9A9C-4FEB-80BB-6C47CE8FADC6}"/>
    <cellStyle name="Normal 5" xfId="2" xr:uid="{62E50509-BC20-4C56-875C-5763F275A1BA}"/>
    <cellStyle name="Vírgula" xfId="1" builtinId="3"/>
    <cellStyle name="Vírgula 10" xfId="8" xr:uid="{7458DB5F-9EBE-4D11-86DF-78946581BDA0}"/>
    <cellStyle name="Vírgula 14 2 2 2" xfId="6" xr:uid="{9FDE0350-8979-4E79-A4C2-5A8AD374D056}"/>
  </cellStyles>
  <dxfs count="21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99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A5A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rgb="FFFF0000"/>
      </font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A5A3"/>
        </patternFill>
      </fill>
    </dxf>
    <dxf>
      <fill>
        <patternFill>
          <bgColor rgb="FF94FEA6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left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33181EDB-4EC2-4734-BDEA-2E26B332B44F}"/>
  </tableStyles>
  <colors>
    <mruColors>
      <color rgb="FFFFFFCC"/>
      <color rgb="FFFF0101"/>
      <color rgb="FFFFFF99"/>
      <color rgb="FF94FEA6"/>
      <color rgb="FFFFCCFF"/>
      <color rgb="FFFFA5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270</xdr:row>
      <xdr:rowOff>114300</xdr:rowOff>
    </xdr:to>
    <xdr:sp macro="" textlink="">
      <xdr:nvSpPr>
        <xdr:cNvPr id="1037" name="shell-header-icon" descr="Company Logo">
          <a:extLst>
            <a:ext uri="{FF2B5EF4-FFF2-40B4-BE49-F238E27FC236}">
              <a16:creationId xmlns:a16="http://schemas.microsoft.com/office/drawing/2014/main" id="{114372AD-3610-B256-364D-6739016C199F}"/>
            </a:ext>
          </a:extLst>
        </xdr:cNvPr>
        <xdr:cNvSpPr>
          <a:spLocks noChangeAspect="1" noChangeArrowheads="1"/>
        </xdr:cNvSpPr>
      </xdr:nvSpPr>
      <xdr:spPr bwMode="auto">
        <a:xfrm>
          <a:off x="314325" y="24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92</xdr:row>
      <xdr:rowOff>0</xdr:rowOff>
    </xdr:from>
    <xdr:ext cx="304800" cy="304800"/>
    <xdr:sp macro="" textlink="">
      <xdr:nvSpPr>
        <xdr:cNvPr id="2" name="shell-header-icon" descr="Company Logo">
          <a:extLst>
            <a:ext uri="{FF2B5EF4-FFF2-40B4-BE49-F238E27FC236}">
              <a16:creationId xmlns:a16="http://schemas.microsoft.com/office/drawing/2014/main" id="{5866E335-4C30-47C8-B277-F8035F65FEF9}"/>
            </a:ext>
          </a:extLst>
        </xdr:cNvPr>
        <xdr:cNvSpPr>
          <a:spLocks noChangeAspect="1" noChangeArrowheads="1"/>
        </xdr:cNvSpPr>
      </xdr:nvSpPr>
      <xdr:spPr bwMode="auto">
        <a:xfrm>
          <a:off x="311727" y="31172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04800" cy="304800"/>
    <xdr:sp macro="" textlink="">
      <xdr:nvSpPr>
        <xdr:cNvPr id="3" name="shell-header-icon" descr="Company Logo">
          <a:extLst>
            <a:ext uri="{FF2B5EF4-FFF2-40B4-BE49-F238E27FC236}">
              <a16:creationId xmlns:a16="http://schemas.microsoft.com/office/drawing/2014/main" id="{B8210D39-9AF0-472B-BA16-86FC6E0210C2}"/>
            </a:ext>
          </a:extLst>
        </xdr:cNvPr>
        <xdr:cNvSpPr>
          <a:spLocks noChangeAspect="1" noChangeArrowheads="1"/>
        </xdr:cNvSpPr>
      </xdr:nvSpPr>
      <xdr:spPr bwMode="auto">
        <a:xfrm>
          <a:off x="311727" y="31172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93</xdr:row>
      <xdr:rowOff>0</xdr:rowOff>
    </xdr:from>
    <xdr:ext cx="304800" cy="304800"/>
    <xdr:sp macro="" textlink="">
      <xdr:nvSpPr>
        <xdr:cNvPr id="4" name="shell-header-icon" descr="Company Logo">
          <a:extLst>
            <a:ext uri="{FF2B5EF4-FFF2-40B4-BE49-F238E27FC236}">
              <a16:creationId xmlns:a16="http://schemas.microsoft.com/office/drawing/2014/main" id="{F1993793-8322-4CA7-8A69-ED175E5D14F8}"/>
            </a:ext>
          </a:extLst>
        </xdr:cNvPr>
        <xdr:cNvSpPr>
          <a:spLocks noChangeAspect="1" noChangeArrowheads="1"/>
        </xdr:cNvSpPr>
      </xdr:nvSpPr>
      <xdr:spPr bwMode="auto">
        <a:xfrm>
          <a:off x="311727" y="31172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04800" cy="304800"/>
    <xdr:sp macro="" textlink="">
      <xdr:nvSpPr>
        <xdr:cNvPr id="5" name="shell-header-icon" descr="Company Logo">
          <a:extLst>
            <a:ext uri="{FF2B5EF4-FFF2-40B4-BE49-F238E27FC236}">
              <a16:creationId xmlns:a16="http://schemas.microsoft.com/office/drawing/2014/main" id="{BF4F8577-EC1B-4CDF-A295-4DA86EFF4A3F}"/>
            </a:ext>
          </a:extLst>
        </xdr:cNvPr>
        <xdr:cNvSpPr>
          <a:spLocks noChangeAspect="1" noChangeArrowheads="1"/>
        </xdr:cNvSpPr>
      </xdr:nvSpPr>
      <xdr:spPr bwMode="auto">
        <a:xfrm>
          <a:off x="311727" y="31172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93</xdr:row>
      <xdr:rowOff>0</xdr:rowOff>
    </xdr:from>
    <xdr:ext cx="304800" cy="304800"/>
    <xdr:sp macro="" textlink="">
      <xdr:nvSpPr>
        <xdr:cNvPr id="6" name="shell-header-icon" descr="Company Logo">
          <a:extLst>
            <a:ext uri="{FF2B5EF4-FFF2-40B4-BE49-F238E27FC236}">
              <a16:creationId xmlns:a16="http://schemas.microsoft.com/office/drawing/2014/main" id="{9D7ECA2B-DEA8-4111-A69C-35FD3E4D8F46}"/>
            </a:ext>
          </a:extLst>
        </xdr:cNvPr>
        <xdr:cNvSpPr>
          <a:spLocks noChangeAspect="1" noChangeArrowheads="1"/>
        </xdr:cNvSpPr>
      </xdr:nvSpPr>
      <xdr:spPr bwMode="auto">
        <a:xfrm>
          <a:off x="311727" y="31172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C8A91-9F38-4F46-B7DC-19FAD335782B}" name="Tabela1" displayName="Tabela1" ref="A1:Z283" totalsRowShown="0" headerRowDxfId="20">
  <autoFilter ref="A1:Z283" xr:uid="{432C8A91-9F38-4F46-B7DC-19FAD335782B}">
    <filterColumn colId="20">
      <filters blank="1"/>
    </filterColumn>
    <filterColumn colId="21">
      <filters blank="1"/>
    </filterColumn>
  </autoFilter>
  <tableColumns count="26">
    <tableColumn id="23" xr3:uid="{217F1FFD-CEFA-444F-87BD-28EE4E018003}" name="SEQ"/>
    <tableColumn id="1" xr3:uid="{8BE51F9E-18E5-415F-9369-929AEF8F6BEB}" name="DT EMBARQUE" dataDxfId="19"/>
    <tableColumn id="2" xr3:uid="{6E89024D-42AC-4047-8DD5-772F128BF00A}" name="DT ENTREGA" dataDxfId="18"/>
    <tableColumn id="3" xr3:uid="{E892FD02-5AF4-44D6-9823-9340FFE9041F}" name="N° da Carga"/>
    <tableColumn id="4" xr3:uid="{6E11FD77-C2B1-4EF4-B180-5F82B7C57BAE}" name="OV/SEQ"/>
    <tableColumn id="5" xr3:uid="{D26A483C-22F1-43B1-AD01-1EE938594433}" name="Remessa"/>
    <tableColumn id="26" xr3:uid="{2C23CB40-9D52-4A99-8D78-5E845EDF5961}" name="OF"/>
    <tableColumn id="6" xr3:uid="{D333FBB2-8FE9-410F-9021-E6346793B57A}" name="CLIENTE ABREV"/>
    <tableColumn id="7" xr3:uid="{AA90279C-9BDC-4266-B40C-03753F778187}" name="Item" dataDxfId="17"/>
    <tableColumn id="8" xr3:uid="{7128FCBA-85A1-4E02-8A56-94018B2C5CB4}" name="Peso  Liq"/>
    <tableColumn id="25" xr3:uid="{60A467AB-E9C4-49F9-8DCA-DCDDB60DED23}" name="Peso  br."/>
    <tableColumn id="9" xr3:uid="{3B75797E-8ED0-4B4A-B2D3-D9FE4EEC0A4A}" name="Pllt"/>
    <tableColumn id="10" xr3:uid="{A925C0C4-C757-4EB2-92C6-0C9E01BDE195}" name="Cidade"/>
    <tableColumn id="11" xr3:uid="{08DC7547-F340-4FF5-8483-8497EA476695}" name="UF"/>
    <tableColumn id="12" xr3:uid="{176794B2-516C-417A-BB8A-77534D136289}" name="DESCRICAO MATERIAL"/>
    <tableColumn id="13" xr3:uid="{BBFBABB5-A7D8-4501-A92E-554384740AFC}" name="ADM VENDAS"/>
    <tableColumn id="14" xr3:uid="{D6F4A253-D42E-45FB-8D36-59BD4B2F90A0}" name="Ref. cliente"/>
    <tableColumn id="15" xr3:uid="{61BF212D-0E2F-4377-840A-3B0E85F6F642}" name="Texto"/>
    <tableColumn id="22" xr3:uid="{CEC1A3CB-DA90-4B3D-AC08-B48B56B8DF49}" name="Tipo do Veiculo"/>
    <tableColumn id="21" xr3:uid="{31181CC4-073C-4D84-828C-7227EB483E02}" name="Transp."/>
    <tableColumn id="19" xr3:uid="{D0F4D5DD-356E-4A7D-9968-110DBAB759BA}" name="PACKING LIST"/>
    <tableColumn id="16" xr3:uid="{78FC7B7F-D047-457C-9A3C-101DEA5F0D64}" name="REMESSA / PICKING"/>
    <tableColumn id="17" xr3:uid="{452DE01B-017F-4E91-84B9-4E313A6F673F}" name="FATURAMENTO"/>
    <tableColumn id="24" xr3:uid="{EC351849-1190-4C03-8C3E-3FFEEB287660}" name="NOTA FISCAL" dataDxfId="16"/>
    <tableColumn id="18" xr3:uid="{7666CC27-C39B-4E4A-884A-21F6939192AC}" name="LAUDO" dataDxfId="15"/>
    <tableColumn id="20" xr3:uid="{BD53ACB7-2E40-4466-85ED-70F113C39AE6}" name="Ob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C583-E03F-42A6-AF81-CF42A4817D6A}">
  <sheetPr codeName="Planilha1" filterMode="1"/>
  <dimension ref="A1:W42"/>
  <sheetViews>
    <sheetView showGridLines="0" topLeftCell="A39" zoomScale="80" zoomScaleNormal="80" workbookViewId="0">
      <selection activeCell="D1" sqref="D1:P39"/>
    </sheetView>
  </sheetViews>
  <sheetFormatPr defaultRowHeight="15" x14ac:dyDescent="0.25"/>
  <cols>
    <col min="1" max="1" width="15.85546875" bestFit="1" customWidth="1"/>
    <col min="4" max="4" width="6.28515625" customWidth="1"/>
    <col min="5" max="5" width="9.85546875" bestFit="1" customWidth="1"/>
    <col min="6" max="6" width="15.5703125" customWidth="1"/>
    <col min="7" max="7" width="16.7109375" customWidth="1"/>
    <col min="8" max="8" width="7.5703125" bestFit="1" customWidth="1"/>
    <col min="9" max="9" width="10.7109375" bestFit="1" customWidth="1"/>
    <col min="10" max="10" width="22.7109375" bestFit="1" customWidth="1"/>
    <col min="11" max="11" width="26.140625" bestFit="1" customWidth="1"/>
    <col min="12" max="12" width="10" bestFit="1" customWidth="1"/>
    <col min="13" max="13" width="9.85546875" bestFit="1" customWidth="1"/>
    <col min="14" max="14" width="11" bestFit="1" customWidth="1"/>
    <col min="15" max="15" width="13.140625" bestFit="1" customWidth="1"/>
    <col min="16" max="16" width="5.28515625" bestFit="1" customWidth="1"/>
    <col min="18" max="18" width="9.7109375" bestFit="1" customWidth="1"/>
    <col min="19" max="19" width="9.5703125" bestFit="1" customWidth="1"/>
    <col min="20" max="20" width="11.5703125" bestFit="1" customWidth="1"/>
    <col min="21" max="21" width="5.85546875" customWidth="1"/>
    <col min="23" max="23" width="11" bestFit="1" customWidth="1"/>
  </cols>
  <sheetData>
    <row r="1" spans="1:23" ht="16.5" thickBot="1" x14ac:dyDescent="0.3">
      <c r="A1" s="1" t="s">
        <v>0</v>
      </c>
      <c r="B1" s="2"/>
      <c r="D1" s="70" t="s">
        <v>1</v>
      </c>
      <c r="E1" s="71"/>
      <c r="F1" s="52" t="s">
        <v>1148</v>
      </c>
      <c r="G1" s="3"/>
      <c r="H1" s="3"/>
      <c r="I1" s="4"/>
      <c r="M1" s="5"/>
      <c r="N1" s="6"/>
      <c r="O1" s="7"/>
      <c r="P1" s="5"/>
    </row>
    <row r="2" spans="1:23" ht="16.5" thickBot="1" x14ac:dyDescent="0.3">
      <c r="A2" s="8" t="s">
        <v>2</v>
      </c>
      <c r="B2" s="9">
        <f>IF(F1="","",
IF(_xlfn.XLOOKUP(F1,Tabela1[N° da Carga],Tabela1[REMESSA / PICKING])="VIDE OBS &gt;&gt;&gt;",2,(IF(_xlfn.XLOOKUP(F1,Tabela1[N° da Carga],Tabela1[REMESSA / PICKING])="",3,1))))</f>
        <v>3</v>
      </c>
      <c r="D2" s="47" t="s">
        <v>3</v>
      </c>
      <c r="E2" s="47" t="s">
        <v>4</v>
      </c>
      <c r="F2" s="47" t="s">
        <v>5</v>
      </c>
      <c r="G2" s="48" t="s">
        <v>6</v>
      </c>
      <c r="H2" s="48" t="s">
        <v>7</v>
      </c>
      <c r="I2" s="49" t="s">
        <v>8</v>
      </c>
      <c r="J2" s="50" t="s">
        <v>9</v>
      </c>
      <c r="K2" s="50" t="s">
        <v>10</v>
      </c>
      <c r="L2" s="50" t="s">
        <v>11</v>
      </c>
      <c r="M2" s="50" t="s">
        <v>12</v>
      </c>
      <c r="N2" s="51" t="s">
        <v>13</v>
      </c>
      <c r="O2" s="51" t="s">
        <v>14</v>
      </c>
      <c r="P2" s="50" t="s">
        <v>15</v>
      </c>
      <c r="R2" s="11" t="s">
        <v>5</v>
      </c>
      <c r="S2" s="11" t="s">
        <v>13</v>
      </c>
      <c r="T2" s="11" t="s">
        <v>14</v>
      </c>
      <c r="U2" s="10" t="s">
        <v>8</v>
      </c>
      <c r="W2" s="10" t="s">
        <v>16</v>
      </c>
    </row>
    <row r="3" spans="1:23" ht="16.5" thickBot="1" x14ac:dyDescent="0.3">
      <c r="A3" s="12" t="s">
        <v>17</v>
      </c>
      <c r="B3" s="13">
        <f>IF(F1="","",
IF(_xlfn.XLOOKUP(F1,Tabela1[N° da Carga],Tabela1[FATURAMENTO])="VIDE OBS &gt;&gt;&gt;",2,(IF(_xlfn.XLOOKUP(F1,Tabela1[N° da Carga],Tabela1[FATURAMENTO])="",3,1))))</f>
        <v>3</v>
      </c>
      <c r="D3" s="32" t="str" cm="1">
        <f t="array" ref="D3:P5">_xlfn.LET(
    _xlpm.DadosFiltradosESelecionados, _xlfn.CHOOSECOLS(_xlfn._xlws.FILTER(Tabela1[[SEQ]:[NOTA FISCAL]],'Ficha de carga'!F1=Tabela1[N° da Carga]),1,5,6,7,9,24,8,13,2,3,10,11,12),
    IF(_xlpm.DadosFiltradosESelecionados=0,"",_xlpm.DadosFiltradosESelecionados)
)</f>
        <v>1ª</v>
      </c>
      <c r="E3" s="33" t="str">
        <v>380787/10</v>
      </c>
      <c r="F3" s="34" t="str">
        <v>80719403</v>
      </c>
      <c r="G3" s="34">
        <v>6100306855</v>
      </c>
      <c r="H3" s="35" t="str">
        <v>SA1515</v>
      </c>
      <c r="I3" s="34" t="str">
        <v/>
      </c>
      <c r="J3" s="36" t="str">
        <v>INDUSTRIAS REUNIDAS RAYMUNDO DA FONTE SA</v>
      </c>
      <c r="K3" s="37" t="str">
        <v>Paulista PE</v>
      </c>
      <c r="L3" s="38">
        <v>46183</v>
      </c>
      <c r="M3" s="38">
        <v>46184</v>
      </c>
      <c r="N3" s="39">
        <v>13614.5</v>
      </c>
      <c r="O3" s="40">
        <v>14182</v>
      </c>
      <c r="P3" s="41">
        <v>22</v>
      </c>
      <c r="R3" s="30" t="str">
        <f>F3</f>
        <v>80719403</v>
      </c>
      <c r="S3" s="15">
        <f>N3</f>
        <v>13614.5</v>
      </c>
      <c r="T3" s="16">
        <f>O3</f>
        <v>14182</v>
      </c>
      <c r="U3" s="17" t="str">
        <f>I3</f>
        <v/>
      </c>
      <c r="W3" t="str">
        <f>IFERROR(_xlfn.XLOOKUP(E3,Tabela1[OV/SEQ],Tabela1[Ref. cliente]),"")</f>
        <v>192.850</v>
      </c>
    </row>
    <row r="4" spans="1:23" ht="16.5" thickBot="1" x14ac:dyDescent="0.3">
      <c r="A4" s="18" t="s">
        <v>18</v>
      </c>
      <c r="B4" s="13">
        <f>IF(F1="","",
IF(_xlfn.XLOOKUP(F1,Tabela1[N° da Carga],Tabela1[LAUDO])="VIDE OBS &gt;&gt;&gt;",2,(IF(_xlfn.XLOOKUP(F1,Tabela1[N° da Carga],Tabela1[LAUDO])="",3,1))))</f>
        <v>3</v>
      </c>
      <c r="D4" s="42" t="str">
        <v>2ª</v>
      </c>
      <c r="E4" s="33" t="str">
        <v>380328/10</v>
      </c>
      <c r="F4" s="34" t="str">
        <v>80718261</v>
      </c>
      <c r="G4" s="34">
        <v>6100306856</v>
      </c>
      <c r="H4" s="35" t="str">
        <v>SA0211</v>
      </c>
      <c r="I4" s="34" t="str">
        <v/>
      </c>
      <c r="J4" s="36" t="str">
        <v>BARATAO RN</v>
      </c>
      <c r="K4" s="37" t="str">
        <v>SAO JOSE DE MIPIBU RN</v>
      </c>
      <c r="L4" s="38">
        <v>46183</v>
      </c>
      <c r="M4" s="38">
        <v>46185</v>
      </c>
      <c r="N4" s="39">
        <v>4881.8</v>
      </c>
      <c r="O4" s="40">
        <v>5791</v>
      </c>
      <c r="P4" s="41">
        <v>10</v>
      </c>
      <c r="R4" s="30" t="str">
        <f t="shared" ref="R4:R34" si="0">F4</f>
        <v>80718261</v>
      </c>
      <c r="S4" s="15">
        <f t="shared" ref="S4:T34" si="1">N4</f>
        <v>4881.8</v>
      </c>
      <c r="T4" s="16">
        <f t="shared" si="1"/>
        <v>5791</v>
      </c>
      <c r="U4" s="17" t="str">
        <f t="shared" ref="U4:U34" si="2">I4</f>
        <v/>
      </c>
      <c r="W4" t="str">
        <f>IFERROR(_xlfn.XLOOKUP(E4,Tabela1[OV/SEQ],Tabela1[Ref. cliente]),"")</f>
        <v>0</v>
      </c>
    </row>
    <row r="5" spans="1:23" ht="16.5" thickBot="1" x14ac:dyDescent="0.3">
      <c r="A5" s="29" t="s">
        <v>19</v>
      </c>
      <c r="B5" s="13">
        <f>IF(F1="","",
IF(_xlfn.XLOOKUP(F1,Tabela1[N° da Carga],Tabela1[PACKING LIST])="VIDE OBS &gt;&gt;&gt;",2,(IF(_xlfn.XLOOKUP(F1,Tabela1[N° da Carga],Tabela1[PACKING LIST])="",3,1))))</f>
        <v>3</v>
      </c>
      <c r="D5" s="42" t="str">
        <v>3ª</v>
      </c>
      <c r="E5" s="33" t="str">
        <v>354140/20</v>
      </c>
      <c r="F5" s="34" t="str">
        <v>80713576</v>
      </c>
      <c r="G5" s="34">
        <v>6100306857</v>
      </c>
      <c r="H5" s="35" t="str">
        <v>HA2424</v>
      </c>
      <c r="I5" s="34" t="str">
        <v/>
      </c>
      <c r="J5" s="36" t="str">
        <v>VICUNHA II</v>
      </c>
      <c r="K5" s="37" t="str">
        <v>Natal RN</v>
      </c>
      <c r="L5" s="38">
        <v>46183</v>
      </c>
      <c r="M5" s="38">
        <v>46185</v>
      </c>
      <c r="N5" s="39">
        <v>1577.92</v>
      </c>
      <c r="O5" s="40">
        <v>1748.5</v>
      </c>
      <c r="P5" s="41">
        <v>2</v>
      </c>
      <c r="R5" s="30" t="str">
        <f t="shared" si="0"/>
        <v>80713576</v>
      </c>
      <c r="S5" s="15">
        <f t="shared" si="1"/>
        <v>1577.92</v>
      </c>
      <c r="T5" s="16">
        <f t="shared" si="1"/>
        <v>1748.5</v>
      </c>
      <c r="U5" s="17" t="str">
        <f t="shared" si="2"/>
        <v/>
      </c>
      <c r="W5" t="str">
        <f>IFERROR(_xlfn.XLOOKUP(E5,Tabela1[OV/SEQ],Tabela1[Ref. cliente]),"")</f>
        <v>532164</v>
      </c>
    </row>
    <row r="6" spans="1:23" ht="15.75" x14ac:dyDescent="0.25">
      <c r="A6" s="19"/>
      <c r="B6" s="19"/>
      <c r="D6" s="42"/>
      <c r="E6" s="33"/>
      <c r="F6" s="34"/>
      <c r="G6" s="34"/>
      <c r="H6" s="35"/>
      <c r="I6" s="34"/>
      <c r="J6" s="36"/>
      <c r="K6" s="37"/>
      <c r="L6" s="38"/>
      <c r="M6" s="38"/>
      <c r="N6" s="39"/>
      <c r="O6" s="40"/>
      <c r="P6" s="41"/>
      <c r="R6" s="30">
        <f>F6</f>
        <v>0</v>
      </c>
      <c r="S6" s="15">
        <f t="shared" ref="S6:T9" si="3">N6</f>
        <v>0</v>
      </c>
      <c r="T6" s="16">
        <f t="shared" si="3"/>
        <v>0</v>
      </c>
      <c r="U6" s="17">
        <f>I6</f>
        <v>0</v>
      </c>
      <c r="W6" t="str">
        <f>IFERROR(_xlfn.XLOOKUP(E6,Tabela1[OV/SEQ],Tabela1[Ref. cliente]),"")</f>
        <v/>
      </c>
    </row>
    <row r="7" spans="1:23" ht="15.75" x14ac:dyDescent="0.25">
      <c r="A7" s="19"/>
      <c r="B7" s="19"/>
      <c r="D7" s="42"/>
      <c r="E7" s="33"/>
      <c r="F7" s="34"/>
      <c r="G7" s="34"/>
      <c r="H7" s="35"/>
      <c r="I7" s="34"/>
      <c r="J7" s="36"/>
      <c r="K7" s="37"/>
      <c r="L7" s="38"/>
      <c r="M7" s="38"/>
      <c r="N7" s="39"/>
      <c r="O7" s="40"/>
      <c r="P7" s="41"/>
      <c r="R7" s="30">
        <f>F7</f>
        <v>0</v>
      </c>
      <c r="S7" s="15">
        <f t="shared" si="3"/>
        <v>0</v>
      </c>
      <c r="T7" s="16">
        <f t="shared" si="3"/>
        <v>0</v>
      </c>
      <c r="U7" s="17">
        <f>I7</f>
        <v>0</v>
      </c>
      <c r="W7" t="str">
        <f>IFERROR(_xlfn.XLOOKUP(E7,Tabela1[OV/SEQ],Tabela1[Ref. cliente]),"")</f>
        <v/>
      </c>
    </row>
    <row r="8" spans="1:23" ht="15.75" x14ac:dyDescent="0.25">
      <c r="A8" s="19"/>
      <c r="B8" s="19"/>
      <c r="D8" s="42"/>
      <c r="E8" s="33"/>
      <c r="F8" s="34"/>
      <c r="G8" s="34"/>
      <c r="H8" s="35"/>
      <c r="I8" s="34"/>
      <c r="J8" s="36"/>
      <c r="K8" s="37"/>
      <c r="L8" s="38"/>
      <c r="M8" s="38"/>
      <c r="N8" s="39"/>
      <c r="O8" s="40"/>
      <c r="P8" s="41"/>
      <c r="R8" s="30">
        <f>F8</f>
        <v>0</v>
      </c>
      <c r="S8" s="15">
        <f t="shared" si="3"/>
        <v>0</v>
      </c>
      <c r="T8" s="16">
        <f t="shared" si="3"/>
        <v>0</v>
      </c>
      <c r="U8" s="17">
        <f>I8</f>
        <v>0</v>
      </c>
      <c r="W8" t="str">
        <f>IFERROR(_xlfn.XLOOKUP(E8,Tabela1[OV/SEQ],Tabela1[Ref. cliente]),"")</f>
        <v/>
      </c>
    </row>
    <row r="9" spans="1:23" ht="15.75" x14ac:dyDescent="0.25">
      <c r="A9" s="19"/>
      <c r="B9" s="19"/>
      <c r="D9" s="42"/>
      <c r="E9" s="33"/>
      <c r="F9" s="34"/>
      <c r="G9" s="34"/>
      <c r="H9" s="35"/>
      <c r="I9" s="34"/>
      <c r="J9" s="36"/>
      <c r="K9" s="37"/>
      <c r="L9" s="38"/>
      <c r="M9" s="38"/>
      <c r="N9" s="39"/>
      <c r="O9" s="40"/>
      <c r="P9" s="41"/>
      <c r="R9" s="30">
        <f>F9</f>
        <v>0</v>
      </c>
      <c r="S9" s="15">
        <f t="shared" si="3"/>
        <v>0</v>
      </c>
      <c r="T9" s="16">
        <f t="shared" si="3"/>
        <v>0</v>
      </c>
      <c r="U9" s="17">
        <f>I9</f>
        <v>0</v>
      </c>
      <c r="W9" t="str">
        <f>IFERROR(_xlfn.XLOOKUP(E9,Tabela1[OV/SEQ],Tabela1[Ref. cliente]),"")</f>
        <v/>
      </c>
    </row>
    <row r="10" spans="1:23" ht="15.75" x14ac:dyDescent="0.25">
      <c r="A10" s="19"/>
      <c r="B10" s="19"/>
      <c r="D10" s="42"/>
      <c r="E10" s="33"/>
      <c r="F10" s="34"/>
      <c r="G10" s="34"/>
      <c r="H10" s="35"/>
      <c r="I10" s="34"/>
      <c r="J10" s="36"/>
      <c r="K10" s="37"/>
      <c r="L10" s="38"/>
      <c r="M10" s="38"/>
      <c r="N10" s="39"/>
      <c r="O10" s="40"/>
      <c r="P10" s="41"/>
      <c r="R10" s="30">
        <f t="shared" si="0"/>
        <v>0</v>
      </c>
      <c r="S10" s="15">
        <f t="shared" si="1"/>
        <v>0</v>
      </c>
      <c r="T10" s="16">
        <f t="shared" si="1"/>
        <v>0</v>
      </c>
      <c r="U10" s="17">
        <f t="shared" si="2"/>
        <v>0</v>
      </c>
      <c r="W10" t="str">
        <f>IFERROR(_xlfn.XLOOKUP(E10,Tabela1[OV/SEQ],Tabela1[Ref. cliente]),"")</f>
        <v/>
      </c>
    </row>
    <row r="11" spans="1:23" ht="15.75" x14ac:dyDescent="0.25">
      <c r="A11" s="19"/>
      <c r="B11" s="19"/>
      <c r="D11" s="42"/>
      <c r="E11" s="33"/>
      <c r="F11" s="34"/>
      <c r="G11" s="34"/>
      <c r="H11" s="35"/>
      <c r="I11" s="34"/>
      <c r="J11" s="36"/>
      <c r="K11" s="37"/>
      <c r="L11" s="38"/>
      <c r="M11" s="38"/>
      <c r="N11" s="39"/>
      <c r="O11" s="40"/>
      <c r="P11" s="41"/>
      <c r="R11" s="30">
        <f t="shared" si="0"/>
        <v>0</v>
      </c>
      <c r="S11" s="15">
        <f t="shared" si="1"/>
        <v>0</v>
      </c>
      <c r="T11" s="16">
        <f t="shared" si="1"/>
        <v>0</v>
      </c>
      <c r="U11" s="17">
        <f t="shared" si="2"/>
        <v>0</v>
      </c>
      <c r="W11" t="str">
        <f>IFERROR(_xlfn.XLOOKUP(E11,Tabela1[OV/SEQ],Tabela1[Ref. cliente]),"")</f>
        <v/>
      </c>
    </row>
    <row r="12" spans="1:23" ht="15.75" x14ac:dyDescent="0.25">
      <c r="A12" s="19"/>
      <c r="B12" s="19"/>
      <c r="D12" s="42"/>
      <c r="E12" s="33"/>
      <c r="F12" s="34"/>
      <c r="G12" s="34"/>
      <c r="H12" s="35"/>
      <c r="I12" s="34"/>
      <c r="J12" s="36"/>
      <c r="K12" s="37"/>
      <c r="L12" s="38"/>
      <c r="M12" s="38"/>
      <c r="N12" s="39"/>
      <c r="O12" s="40"/>
      <c r="P12" s="41"/>
      <c r="R12" s="30">
        <f t="shared" ref="R12:R21" si="4">F12</f>
        <v>0</v>
      </c>
      <c r="S12" s="15">
        <f t="shared" ref="S12:S21" si="5">N12</f>
        <v>0</v>
      </c>
      <c r="T12" s="16">
        <f t="shared" ref="T12:T21" si="6">O12</f>
        <v>0</v>
      </c>
      <c r="U12" s="17">
        <f t="shared" ref="U12:U21" si="7">I12</f>
        <v>0</v>
      </c>
      <c r="W12" t="str">
        <f>IFERROR(_xlfn.XLOOKUP(E12,Tabela1[OV/SEQ],Tabela1[Ref. cliente]),"")</f>
        <v/>
      </c>
    </row>
    <row r="13" spans="1:23" ht="15.75" x14ac:dyDescent="0.25">
      <c r="A13" s="19"/>
      <c r="B13" s="19"/>
      <c r="D13" s="42"/>
      <c r="E13" s="33"/>
      <c r="F13" s="34"/>
      <c r="G13" s="34"/>
      <c r="H13" s="35"/>
      <c r="I13" s="34"/>
      <c r="J13" s="36"/>
      <c r="K13" s="37"/>
      <c r="L13" s="38"/>
      <c r="M13" s="38"/>
      <c r="N13" s="39"/>
      <c r="O13" s="40"/>
      <c r="P13" s="41"/>
      <c r="R13" s="30">
        <f t="shared" si="4"/>
        <v>0</v>
      </c>
      <c r="S13" s="15">
        <f t="shared" si="5"/>
        <v>0</v>
      </c>
      <c r="T13" s="16">
        <f t="shared" si="6"/>
        <v>0</v>
      </c>
      <c r="U13" s="17">
        <f t="shared" si="7"/>
        <v>0</v>
      </c>
      <c r="W13" t="str">
        <f>IFERROR(_xlfn.XLOOKUP(E13,Tabela1[OV/SEQ],Tabela1[Ref. cliente]),"")</f>
        <v/>
      </c>
    </row>
    <row r="14" spans="1:23" ht="15.75" hidden="1" x14ac:dyDescent="0.25">
      <c r="A14" s="19"/>
      <c r="B14" s="19"/>
      <c r="D14" s="42"/>
      <c r="E14" s="33"/>
      <c r="F14" s="34"/>
      <c r="G14" s="34"/>
      <c r="H14" s="35"/>
      <c r="I14" s="34"/>
      <c r="J14" s="36"/>
      <c r="K14" s="37"/>
      <c r="L14" s="38"/>
      <c r="M14" s="38"/>
      <c r="N14" s="39"/>
      <c r="O14" s="40"/>
      <c r="P14" s="41"/>
      <c r="R14" s="30">
        <f t="shared" si="4"/>
        <v>0</v>
      </c>
      <c r="S14" s="15">
        <f t="shared" si="5"/>
        <v>0</v>
      </c>
      <c r="T14" s="16">
        <f t="shared" si="6"/>
        <v>0</v>
      </c>
      <c r="U14" s="17">
        <f t="shared" si="7"/>
        <v>0</v>
      </c>
      <c r="W14" t="str">
        <f>IFERROR(_xlfn.XLOOKUP(E14,Tabela1[OV/SEQ],Tabela1[Ref. cliente]),"")</f>
        <v/>
      </c>
    </row>
    <row r="15" spans="1:23" ht="15.75" hidden="1" x14ac:dyDescent="0.25">
      <c r="A15" s="19"/>
      <c r="B15" s="19"/>
      <c r="D15" s="42"/>
      <c r="E15" s="33"/>
      <c r="F15" s="34"/>
      <c r="G15" s="34"/>
      <c r="H15" s="35"/>
      <c r="I15" s="34"/>
      <c r="J15" s="36"/>
      <c r="K15" s="37"/>
      <c r="L15" s="38"/>
      <c r="M15" s="38"/>
      <c r="N15" s="39"/>
      <c r="O15" s="40"/>
      <c r="P15" s="41"/>
      <c r="R15" s="30">
        <f t="shared" si="4"/>
        <v>0</v>
      </c>
      <c r="S15" s="15">
        <f t="shared" si="5"/>
        <v>0</v>
      </c>
      <c r="T15" s="16">
        <f t="shared" si="6"/>
        <v>0</v>
      </c>
      <c r="U15" s="17">
        <f t="shared" si="7"/>
        <v>0</v>
      </c>
      <c r="W15" t="str">
        <f>IFERROR(_xlfn.XLOOKUP(E15,Tabela1[OV/SEQ],Tabela1[Ref. cliente]),"")</f>
        <v/>
      </c>
    </row>
    <row r="16" spans="1:23" ht="15.75" hidden="1" x14ac:dyDescent="0.25">
      <c r="A16" s="19"/>
      <c r="B16" s="19"/>
      <c r="D16" s="42"/>
      <c r="E16" s="33"/>
      <c r="F16" s="34"/>
      <c r="G16" s="34"/>
      <c r="H16" s="35"/>
      <c r="I16" s="34"/>
      <c r="J16" s="36"/>
      <c r="K16" s="37"/>
      <c r="L16" s="38"/>
      <c r="M16" s="38"/>
      <c r="N16" s="39"/>
      <c r="O16" s="40"/>
      <c r="P16" s="41"/>
      <c r="R16" s="30">
        <f t="shared" si="4"/>
        <v>0</v>
      </c>
      <c r="S16" s="15">
        <f t="shared" si="5"/>
        <v>0</v>
      </c>
      <c r="T16" s="16">
        <f t="shared" si="6"/>
        <v>0</v>
      </c>
      <c r="U16" s="17">
        <f t="shared" si="7"/>
        <v>0</v>
      </c>
      <c r="W16" t="str">
        <f>IFERROR(_xlfn.XLOOKUP(E16,Tabela1[OV/SEQ],Tabela1[Ref. cliente]),"")</f>
        <v/>
      </c>
    </row>
    <row r="17" spans="1:23" ht="15.75" hidden="1" x14ac:dyDescent="0.25">
      <c r="A17" s="19"/>
      <c r="B17" s="19"/>
      <c r="D17" s="42"/>
      <c r="E17" s="33"/>
      <c r="F17" s="34"/>
      <c r="G17" s="34"/>
      <c r="H17" s="35"/>
      <c r="I17" s="34"/>
      <c r="J17" s="36"/>
      <c r="K17" s="37"/>
      <c r="L17" s="38"/>
      <c r="M17" s="38"/>
      <c r="N17" s="39"/>
      <c r="O17" s="40"/>
      <c r="P17" s="41"/>
      <c r="R17" s="30">
        <f t="shared" si="4"/>
        <v>0</v>
      </c>
      <c r="S17" s="15">
        <f t="shared" si="5"/>
        <v>0</v>
      </c>
      <c r="T17" s="16">
        <f t="shared" si="6"/>
        <v>0</v>
      </c>
      <c r="U17" s="17">
        <f t="shared" si="7"/>
        <v>0</v>
      </c>
      <c r="W17" t="str">
        <f>IFERROR(_xlfn.XLOOKUP(E17,Tabela1[OV/SEQ],Tabela1[Ref. cliente]),"")</f>
        <v/>
      </c>
    </row>
    <row r="18" spans="1:23" ht="15.75" hidden="1" x14ac:dyDescent="0.25">
      <c r="A18" s="19"/>
      <c r="B18" s="19"/>
      <c r="D18" s="42"/>
      <c r="E18" s="33"/>
      <c r="F18" s="34"/>
      <c r="G18" s="34"/>
      <c r="H18" s="35"/>
      <c r="I18" s="34"/>
      <c r="J18" s="36"/>
      <c r="K18" s="37"/>
      <c r="L18" s="38"/>
      <c r="M18" s="38"/>
      <c r="N18" s="39"/>
      <c r="O18" s="40"/>
      <c r="P18" s="41"/>
      <c r="R18" s="30">
        <f t="shared" si="4"/>
        <v>0</v>
      </c>
      <c r="S18" s="15">
        <f t="shared" si="5"/>
        <v>0</v>
      </c>
      <c r="T18" s="16">
        <f t="shared" si="6"/>
        <v>0</v>
      </c>
      <c r="U18" s="17">
        <f t="shared" si="7"/>
        <v>0</v>
      </c>
      <c r="W18" t="str">
        <f>IFERROR(_xlfn.XLOOKUP(E18,Tabela1[OV/SEQ],Tabela1[Ref. cliente]),"")</f>
        <v/>
      </c>
    </row>
    <row r="19" spans="1:23" ht="15.75" hidden="1" x14ac:dyDescent="0.25">
      <c r="A19" s="19"/>
      <c r="B19" s="19"/>
      <c r="D19" s="42"/>
      <c r="E19" s="33"/>
      <c r="F19" s="34"/>
      <c r="G19" s="34"/>
      <c r="H19" s="35"/>
      <c r="I19" s="34"/>
      <c r="J19" s="36"/>
      <c r="K19" s="37"/>
      <c r="L19" s="38"/>
      <c r="M19" s="38"/>
      <c r="N19" s="39"/>
      <c r="O19" s="40"/>
      <c r="P19" s="41"/>
      <c r="R19" s="30">
        <f t="shared" si="4"/>
        <v>0</v>
      </c>
      <c r="S19" s="15">
        <f t="shared" si="5"/>
        <v>0</v>
      </c>
      <c r="T19" s="16">
        <f t="shared" si="6"/>
        <v>0</v>
      </c>
      <c r="U19" s="17">
        <f t="shared" si="7"/>
        <v>0</v>
      </c>
      <c r="W19" t="str">
        <f>IFERROR(_xlfn.XLOOKUP(E19,Tabela1[OV/SEQ],Tabela1[Ref. cliente]),"")</f>
        <v/>
      </c>
    </row>
    <row r="20" spans="1:23" ht="15.75" hidden="1" x14ac:dyDescent="0.25">
      <c r="A20" s="19"/>
      <c r="B20" s="19"/>
      <c r="D20" s="42"/>
      <c r="E20" s="33"/>
      <c r="F20" s="34"/>
      <c r="G20" s="34"/>
      <c r="H20" s="35"/>
      <c r="I20" s="34"/>
      <c r="J20" s="36"/>
      <c r="K20" s="37"/>
      <c r="L20" s="38"/>
      <c r="M20" s="38"/>
      <c r="N20" s="39"/>
      <c r="O20" s="40"/>
      <c r="P20" s="41"/>
      <c r="R20" s="30">
        <f t="shared" si="4"/>
        <v>0</v>
      </c>
      <c r="S20" s="15">
        <f t="shared" si="5"/>
        <v>0</v>
      </c>
      <c r="T20" s="16">
        <f t="shared" si="6"/>
        <v>0</v>
      </c>
      <c r="U20" s="17">
        <f t="shared" si="7"/>
        <v>0</v>
      </c>
      <c r="W20" t="str">
        <f>IFERROR(_xlfn.XLOOKUP(E20,Tabela1[OV/SEQ],Tabela1[Ref. cliente]),"")</f>
        <v/>
      </c>
    </row>
    <row r="21" spans="1:23" ht="15.75" hidden="1" x14ac:dyDescent="0.25">
      <c r="A21" s="19"/>
      <c r="B21" s="19"/>
      <c r="D21" s="42"/>
      <c r="E21" s="33"/>
      <c r="F21" s="34"/>
      <c r="G21" s="34"/>
      <c r="H21" s="35"/>
      <c r="I21" s="34"/>
      <c r="J21" s="36"/>
      <c r="K21" s="37"/>
      <c r="L21" s="38"/>
      <c r="M21" s="38"/>
      <c r="N21" s="39"/>
      <c r="O21" s="40"/>
      <c r="P21" s="41"/>
      <c r="R21" s="30">
        <f t="shared" si="4"/>
        <v>0</v>
      </c>
      <c r="S21" s="15">
        <f t="shared" si="5"/>
        <v>0</v>
      </c>
      <c r="T21" s="16">
        <f t="shared" si="6"/>
        <v>0</v>
      </c>
      <c r="U21" s="17">
        <f t="shared" si="7"/>
        <v>0</v>
      </c>
      <c r="W21" t="str">
        <f>IFERROR(_xlfn.XLOOKUP(E21,Tabela1[OV/SEQ],Tabela1[Ref. cliente]),"")</f>
        <v/>
      </c>
    </row>
    <row r="22" spans="1:23" ht="15.75" hidden="1" x14ac:dyDescent="0.25">
      <c r="A22" s="19"/>
      <c r="B22" s="19"/>
      <c r="D22" s="32"/>
      <c r="E22" s="33"/>
      <c r="F22" s="34"/>
      <c r="G22" s="34"/>
      <c r="H22" s="35"/>
      <c r="I22" s="34"/>
      <c r="J22" s="36"/>
      <c r="K22" s="37"/>
      <c r="L22" s="38"/>
      <c r="M22" s="38"/>
      <c r="N22" s="39"/>
      <c r="O22" s="40"/>
      <c r="P22" s="41"/>
      <c r="R22" s="30">
        <f t="shared" si="0"/>
        <v>0</v>
      </c>
      <c r="S22" s="15">
        <f t="shared" si="1"/>
        <v>0</v>
      </c>
      <c r="T22" s="16">
        <f t="shared" si="1"/>
        <v>0</v>
      </c>
      <c r="U22" s="17">
        <f t="shared" si="2"/>
        <v>0</v>
      </c>
      <c r="W22" t="str">
        <f>IFERROR(_xlfn.XLOOKUP(E22,Tabela1[OV/SEQ],Tabela1[Ref. cliente]),"")</f>
        <v/>
      </c>
    </row>
    <row r="23" spans="1:23" ht="15.75" hidden="1" x14ac:dyDescent="0.25">
      <c r="A23" s="19"/>
      <c r="B23" s="19"/>
      <c r="D23" s="32"/>
      <c r="E23" s="33"/>
      <c r="F23" s="34"/>
      <c r="G23" s="34"/>
      <c r="H23" s="35"/>
      <c r="I23" s="34"/>
      <c r="J23" s="36"/>
      <c r="K23" s="37"/>
      <c r="L23" s="38"/>
      <c r="M23" s="38"/>
      <c r="N23" s="39"/>
      <c r="O23" s="40"/>
      <c r="P23" s="41"/>
      <c r="R23" s="30">
        <f t="shared" si="0"/>
        <v>0</v>
      </c>
      <c r="S23" s="15">
        <f t="shared" si="1"/>
        <v>0</v>
      </c>
      <c r="T23" s="16">
        <f t="shared" si="1"/>
        <v>0</v>
      </c>
      <c r="U23" s="17">
        <f t="shared" si="2"/>
        <v>0</v>
      </c>
      <c r="W23" t="str">
        <f>IFERROR(_xlfn.XLOOKUP(E23,Tabela1[OV/SEQ],Tabela1[Ref. cliente]),"")</f>
        <v/>
      </c>
    </row>
    <row r="24" spans="1:23" ht="15.75" hidden="1" x14ac:dyDescent="0.25">
      <c r="A24" s="19"/>
      <c r="B24" s="19"/>
      <c r="D24" s="32"/>
      <c r="E24" s="33"/>
      <c r="F24" s="34"/>
      <c r="G24" s="34"/>
      <c r="H24" s="35"/>
      <c r="I24" s="34"/>
      <c r="J24" s="36"/>
      <c r="K24" s="37"/>
      <c r="L24" s="38"/>
      <c r="M24" s="38"/>
      <c r="N24" s="39"/>
      <c r="O24" s="40"/>
      <c r="P24" s="41"/>
      <c r="R24" s="30">
        <f t="shared" si="0"/>
        <v>0</v>
      </c>
      <c r="S24" s="15">
        <f t="shared" si="1"/>
        <v>0</v>
      </c>
      <c r="T24" s="16">
        <f t="shared" si="1"/>
        <v>0</v>
      </c>
      <c r="U24" s="17">
        <f t="shared" si="2"/>
        <v>0</v>
      </c>
      <c r="W24" t="str">
        <f>IFERROR(_xlfn.XLOOKUP(E24,Tabela1[OV/SEQ],Tabela1[Ref. cliente]),"")</f>
        <v/>
      </c>
    </row>
    <row r="25" spans="1:23" ht="15.75" hidden="1" x14ac:dyDescent="0.25">
      <c r="A25" s="19"/>
      <c r="B25" s="19"/>
      <c r="D25" s="32"/>
      <c r="E25" s="33"/>
      <c r="F25" s="34"/>
      <c r="G25" s="34"/>
      <c r="H25" s="35"/>
      <c r="I25" s="34"/>
      <c r="J25" s="36"/>
      <c r="K25" s="37"/>
      <c r="L25" s="38"/>
      <c r="M25" s="38"/>
      <c r="N25" s="39"/>
      <c r="O25" s="40"/>
      <c r="P25" s="41"/>
      <c r="R25" s="30">
        <f t="shared" si="0"/>
        <v>0</v>
      </c>
      <c r="S25" s="15">
        <f t="shared" si="1"/>
        <v>0</v>
      </c>
      <c r="T25" s="16">
        <f t="shared" si="1"/>
        <v>0</v>
      </c>
      <c r="U25" s="17">
        <f t="shared" si="2"/>
        <v>0</v>
      </c>
      <c r="W25" t="str">
        <f>IFERROR(_xlfn.XLOOKUP(E25,Tabela1[OV/SEQ],Tabela1[Ref. cliente]),"")</f>
        <v/>
      </c>
    </row>
    <row r="26" spans="1:23" ht="15.75" hidden="1" x14ac:dyDescent="0.25">
      <c r="A26" s="19"/>
      <c r="B26" s="19"/>
      <c r="D26" s="32"/>
      <c r="E26" s="33"/>
      <c r="F26" s="34"/>
      <c r="G26" s="34"/>
      <c r="H26" s="35"/>
      <c r="I26" s="34"/>
      <c r="J26" s="36"/>
      <c r="K26" s="37"/>
      <c r="L26" s="38"/>
      <c r="M26" s="38"/>
      <c r="N26" s="39"/>
      <c r="O26" s="40"/>
      <c r="P26" s="41"/>
      <c r="R26" s="14">
        <f t="shared" si="0"/>
        <v>0</v>
      </c>
      <c r="S26" s="15">
        <f t="shared" si="1"/>
        <v>0</v>
      </c>
      <c r="T26" s="16">
        <f t="shared" si="1"/>
        <v>0</v>
      </c>
      <c r="U26" s="17">
        <f t="shared" si="2"/>
        <v>0</v>
      </c>
      <c r="W26" t="str">
        <f>IFERROR(_xlfn.XLOOKUP(E26,Tabela1[OV/SEQ],Tabela1[Ref. cliente]),"")</f>
        <v/>
      </c>
    </row>
    <row r="27" spans="1:23" ht="15.75" hidden="1" x14ac:dyDescent="0.25">
      <c r="A27" s="19"/>
      <c r="B27" s="19"/>
      <c r="D27" s="32"/>
      <c r="E27" s="33"/>
      <c r="F27" s="34"/>
      <c r="G27" s="34"/>
      <c r="H27" s="35"/>
      <c r="I27" s="34"/>
      <c r="J27" s="36"/>
      <c r="K27" s="37"/>
      <c r="L27" s="38"/>
      <c r="M27" s="38"/>
      <c r="N27" s="39"/>
      <c r="O27" s="40"/>
      <c r="P27" s="41"/>
      <c r="R27" s="14">
        <f t="shared" si="0"/>
        <v>0</v>
      </c>
      <c r="S27" s="15">
        <f t="shared" si="1"/>
        <v>0</v>
      </c>
      <c r="T27" s="16">
        <f t="shared" si="1"/>
        <v>0</v>
      </c>
      <c r="U27" s="17">
        <f t="shared" si="2"/>
        <v>0</v>
      </c>
      <c r="W27" t="str">
        <f>IFERROR(_xlfn.XLOOKUP(E27,Tabela1[OV/SEQ],Tabela1[Ref. cliente]),"")</f>
        <v/>
      </c>
    </row>
    <row r="28" spans="1:23" ht="15.75" hidden="1" x14ac:dyDescent="0.25">
      <c r="A28" s="19"/>
      <c r="B28" s="19"/>
      <c r="D28" s="32"/>
      <c r="E28" s="33"/>
      <c r="F28" s="34"/>
      <c r="G28" s="34"/>
      <c r="H28" s="35"/>
      <c r="I28" s="34"/>
      <c r="J28" s="36"/>
      <c r="K28" s="37"/>
      <c r="L28" s="38"/>
      <c r="M28" s="38"/>
      <c r="N28" s="39"/>
      <c r="O28" s="40"/>
      <c r="P28" s="41"/>
      <c r="R28" s="14">
        <f t="shared" si="0"/>
        <v>0</v>
      </c>
      <c r="S28" s="15">
        <f t="shared" si="1"/>
        <v>0</v>
      </c>
      <c r="T28" s="16">
        <f t="shared" si="1"/>
        <v>0</v>
      </c>
      <c r="U28" s="17">
        <f t="shared" si="2"/>
        <v>0</v>
      </c>
      <c r="W28" t="str">
        <f>IFERROR(_xlfn.XLOOKUP(E28,Tabela1[OV/SEQ],Tabela1[Ref. cliente]),"")</f>
        <v/>
      </c>
    </row>
    <row r="29" spans="1:23" ht="15.75" hidden="1" x14ac:dyDescent="0.25">
      <c r="A29" s="19"/>
      <c r="B29" s="19"/>
      <c r="D29" s="32"/>
      <c r="E29" s="33"/>
      <c r="F29" s="34"/>
      <c r="G29" s="34"/>
      <c r="H29" s="35"/>
      <c r="I29" s="34"/>
      <c r="J29" s="36"/>
      <c r="K29" s="37"/>
      <c r="L29" s="38"/>
      <c r="M29" s="38"/>
      <c r="N29" s="39"/>
      <c r="O29" s="40"/>
      <c r="P29" s="41"/>
      <c r="R29" s="14">
        <f t="shared" si="0"/>
        <v>0</v>
      </c>
      <c r="S29" s="15">
        <f t="shared" si="1"/>
        <v>0</v>
      </c>
      <c r="T29" s="16">
        <f t="shared" si="1"/>
        <v>0</v>
      </c>
      <c r="U29" s="17">
        <f t="shared" si="2"/>
        <v>0</v>
      </c>
      <c r="W29" t="str">
        <f>IFERROR(_xlfn.XLOOKUP(E29,Tabela1[OV/SEQ],Tabela1[Ref. cliente]),"")</f>
        <v/>
      </c>
    </row>
    <row r="30" spans="1:23" ht="15.75" hidden="1" x14ac:dyDescent="0.25">
      <c r="A30" s="19"/>
      <c r="B30" s="19"/>
      <c r="D30" s="32"/>
      <c r="E30" s="33"/>
      <c r="F30" s="34"/>
      <c r="G30" s="34"/>
      <c r="H30" s="35"/>
      <c r="I30" s="34"/>
      <c r="J30" s="36"/>
      <c r="K30" s="37"/>
      <c r="L30" s="38"/>
      <c r="M30" s="38"/>
      <c r="N30" s="39"/>
      <c r="O30" s="40"/>
      <c r="P30" s="41"/>
      <c r="R30" s="14">
        <f t="shared" ref="R30" si="8">F30</f>
        <v>0</v>
      </c>
      <c r="S30" s="15">
        <f t="shared" ref="S30" si="9">N30</f>
        <v>0</v>
      </c>
      <c r="T30" s="16">
        <f t="shared" ref="T30" si="10">O30</f>
        <v>0</v>
      </c>
      <c r="U30" s="17">
        <f t="shared" ref="U30" si="11">I30</f>
        <v>0</v>
      </c>
      <c r="W30" t="str">
        <f>IFERROR(_xlfn.XLOOKUP(E30,Tabela1[OV/SEQ],Tabela1[Ref. cliente]),"")</f>
        <v/>
      </c>
    </row>
    <row r="31" spans="1:23" ht="15.75" hidden="1" x14ac:dyDescent="0.25">
      <c r="A31" s="19"/>
      <c r="B31" s="19"/>
      <c r="D31" s="32"/>
      <c r="E31" s="33"/>
      <c r="F31" s="34"/>
      <c r="G31" s="34"/>
      <c r="H31" s="35"/>
      <c r="I31" s="34"/>
      <c r="J31" s="36"/>
      <c r="K31" s="37"/>
      <c r="L31" s="38"/>
      <c r="M31" s="38"/>
      <c r="N31" s="39"/>
      <c r="O31" s="40"/>
      <c r="P31" s="41"/>
      <c r="R31" s="14">
        <f t="shared" si="0"/>
        <v>0</v>
      </c>
      <c r="S31" s="15">
        <f t="shared" si="1"/>
        <v>0</v>
      </c>
      <c r="T31" s="16">
        <f t="shared" si="1"/>
        <v>0</v>
      </c>
      <c r="U31" s="17">
        <f t="shared" si="2"/>
        <v>0</v>
      </c>
      <c r="W31" t="str">
        <f>IFERROR(_xlfn.XLOOKUP(E31,Tabela1[OV/SEQ],Tabela1[Ref. cliente]),"")</f>
        <v/>
      </c>
    </row>
    <row r="32" spans="1:23" ht="15.75" hidden="1" x14ac:dyDescent="0.25">
      <c r="A32" s="19"/>
      <c r="B32" s="19"/>
      <c r="D32" s="32"/>
      <c r="E32" s="33"/>
      <c r="F32" s="34"/>
      <c r="G32" s="34"/>
      <c r="H32" s="35"/>
      <c r="I32" s="34"/>
      <c r="J32" s="36"/>
      <c r="K32" s="37"/>
      <c r="L32" s="38"/>
      <c r="M32" s="38"/>
      <c r="N32" s="39"/>
      <c r="O32" s="40"/>
      <c r="P32" s="41"/>
      <c r="R32" s="14">
        <f t="shared" si="0"/>
        <v>0</v>
      </c>
      <c r="S32" s="15">
        <f t="shared" si="1"/>
        <v>0</v>
      </c>
      <c r="T32" s="16">
        <f t="shared" si="1"/>
        <v>0</v>
      </c>
      <c r="U32" s="17">
        <f t="shared" si="2"/>
        <v>0</v>
      </c>
      <c r="W32" t="str">
        <f>IFERROR(_xlfn.XLOOKUP(E32,Tabela1[OV/SEQ],Tabela1[Ref. cliente]),"")</f>
        <v/>
      </c>
    </row>
    <row r="33" spans="1:23" ht="15.75" hidden="1" x14ac:dyDescent="0.25">
      <c r="A33" s="19"/>
      <c r="B33" s="19"/>
      <c r="D33" s="32"/>
      <c r="E33" s="33"/>
      <c r="F33" s="34"/>
      <c r="G33" s="34"/>
      <c r="H33" s="35"/>
      <c r="I33" s="34"/>
      <c r="J33" s="36"/>
      <c r="K33" s="37"/>
      <c r="L33" s="38"/>
      <c r="M33" s="38"/>
      <c r="N33" s="39"/>
      <c r="O33" s="40"/>
      <c r="P33" s="41"/>
      <c r="R33" s="14">
        <f t="shared" si="0"/>
        <v>0</v>
      </c>
      <c r="S33" s="15">
        <f t="shared" si="1"/>
        <v>0</v>
      </c>
      <c r="T33" s="16">
        <f t="shared" si="1"/>
        <v>0</v>
      </c>
      <c r="U33" s="17">
        <f t="shared" si="2"/>
        <v>0</v>
      </c>
      <c r="W33" t="str">
        <f>IFERROR(_xlfn.XLOOKUP(E33,Tabela1[OV/SEQ],Tabela1[Ref. cliente]),"")</f>
        <v/>
      </c>
    </row>
    <row r="34" spans="1:23" ht="15.75" x14ac:dyDescent="0.25">
      <c r="A34" s="19"/>
      <c r="B34" s="19"/>
      <c r="D34" s="32"/>
      <c r="E34" s="33"/>
      <c r="F34" s="34"/>
      <c r="G34" s="34"/>
      <c r="H34" s="35"/>
      <c r="I34" s="34"/>
      <c r="J34" s="36"/>
      <c r="K34" s="37"/>
      <c r="L34" s="38"/>
      <c r="M34" s="38"/>
      <c r="N34" s="39"/>
      <c r="O34" s="40"/>
      <c r="P34" s="41"/>
      <c r="R34" s="14">
        <f t="shared" si="0"/>
        <v>0</v>
      </c>
      <c r="S34" s="15">
        <f t="shared" si="1"/>
        <v>0</v>
      </c>
      <c r="T34" s="16">
        <f t="shared" si="1"/>
        <v>0</v>
      </c>
      <c r="U34" s="17">
        <f t="shared" si="2"/>
        <v>0</v>
      </c>
      <c r="W34" t="str">
        <f>IFERROR(_xlfn.XLOOKUP(E34,Tabela1[OV/SEQ],Tabela1[Ref. cliente]),"")</f>
        <v/>
      </c>
    </row>
    <row r="35" spans="1:23" ht="15.75" x14ac:dyDescent="0.25">
      <c r="A35" s="19"/>
      <c r="B35" s="19"/>
      <c r="D35" s="72" t="s">
        <v>20</v>
      </c>
      <c r="E35" s="73"/>
      <c r="F35" s="73"/>
      <c r="G35" s="73"/>
      <c r="H35" s="73"/>
      <c r="I35" s="74"/>
      <c r="J35" s="43"/>
      <c r="K35" s="58" t="s">
        <v>21</v>
      </c>
      <c r="L35" s="59"/>
      <c r="M35" s="60"/>
      <c r="N35" s="58" t="s">
        <v>22</v>
      </c>
      <c r="O35" s="59"/>
      <c r="P35" s="60"/>
    </row>
    <row r="36" spans="1:23" ht="15.75" x14ac:dyDescent="0.25">
      <c r="A36" s="19"/>
      <c r="B36" s="19"/>
      <c r="D36" s="61" t="str">
        <f>IF(F1="","",IF(_xlfn.XLOOKUP(F1,Tabela1[N° da Carga],Tabela1[Transp.])=0,"OFERTA FRETEFY",_xlfn.XLOOKUP(F1,Tabela1[N° da Carga],Tabela1[Transp.])))</f>
        <v>OFERTA FRETEFY</v>
      </c>
      <c r="E36" s="62"/>
      <c r="F36" s="62"/>
      <c r="G36" s="62"/>
      <c r="H36" s="62"/>
      <c r="I36" s="63"/>
      <c r="J36" s="44" t="s">
        <v>23</v>
      </c>
      <c r="K36" s="64">
        <f>IF(F1="","",_xlfn.XLOOKUP(F1,Tabela1[N° da Carga],Tabela1[Tipo do Veiculo]))</f>
        <v>0</v>
      </c>
      <c r="L36" s="65"/>
      <c r="M36" s="66"/>
      <c r="N36" s="45">
        <f>SUM(N3:N34)</f>
        <v>20074.22</v>
      </c>
      <c r="O36" s="45">
        <f>SUM(O3:O34)</f>
        <v>21721.5</v>
      </c>
      <c r="P36" s="46">
        <f>SUM(P3:P34)</f>
        <v>34</v>
      </c>
    </row>
    <row r="37" spans="1:23" ht="15" customHeight="1" x14ac:dyDescent="0.25">
      <c r="A37" s="19"/>
      <c r="B37" s="19"/>
      <c r="D37" s="67" t="s">
        <v>24</v>
      </c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9"/>
    </row>
    <row r="38" spans="1:23" ht="221.25" customHeight="1" x14ac:dyDescent="0.25">
      <c r="D38" s="75" t="s">
        <v>25</v>
      </c>
      <c r="E38" s="76"/>
      <c r="F38" s="77" t="str">
        <f>IFERROR(_xlfn.XLOOKUP(_xlfn.XLOOKUP("1ª",$D$3:$D$34,$F$3:$F$34),Tabela1[Remessa],Tabela1[Texto]),"")</f>
        <v>* AGENDAR ENTREGA NOS E-MAILS: thais.hs@rfonte.com.br ejeane.ja@rfonte.com.br.Observações:- Solicitações de agendamento com 48h deantecedência de segunda-feira a quinta-feira 07h00 às16h00 e na sexta-feira 07h00 às 15h00.- Horário de recebimento de segunda a sexta-feira das 06:00 ás 21:00;- O veículo deverá se apresentar na portaria para entregada NF com 1 hora de antecedência ao agendamento;- O motorista e ajudantes deverão portar documento deidentificação com foto estar e vestido com calça, camisacom manga e bota;- Os mesmos deverão estar atentos à chamada no pátio, evitando A PERDA DA AGENDA.      - De acordo com a data agendada os veículos são liberados por ORDEM DE CHEGADA, lembrandode tratar os funcionários da IRRF com cordialidade. --SF--&gt;</v>
      </c>
      <c r="G38" s="78"/>
      <c r="H38" s="78"/>
      <c r="I38" s="78"/>
      <c r="J38" s="78"/>
      <c r="K38" s="78"/>
      <c r="L38" s="78"/>
      <c r="M38" s="78"/>
      <c r="N38" s="78"/>
      <c r="O38" s="78"/>
      <c r="P38" s="79"/>
    </row>
    <row r="39" spans="1:23" ht="171" customHeight="1" x14ac:dyDescent="0.25">
      <c r="D39" s="75" t="s">
        <v>26</v>
      </c>
      <c r="E39" s="76"/>
      <c r="F39" s="77" t="str">
        <f>IFERROR(_xlfn.XLOOKUP(_xlfn.XLOOKUP("2ª",$D$3:$D$34,$F$3:$F$34),Tabela1[Remessa],Tabela1[Texto]),"")</f>
        <v>PALLETS TRAVADOSNão aceitam pallets travados. clientes não dispõe de rampa parao recebimento dos pedidos em caminhões baú em pallet travadoO cliente permite remonte de 3 palletes.DIA E HORÁRIO DE RECEBIMENTO: Seg a Sex (08hs às 16hs) TIPO DE VEÍCULO:QUALQUER TIPO EQUIPAMENTO PARA RECEBIMENTO: EMPILHADEIRA ENTREGAAGENDADA: NÃO OTIMIZADO COM OUTROS CLIENTES: SIM RECEBE PALLETREMONTADO: NÃO ACEITA ANTECIPAÇÃO DE ENTREGA: NÃO ENVIAR 2 AJUDANTESPARA DESCARGA É necessário o envio de somente 01 chapa para odescarregamentoÉ necessário o envio de somente 01 chapa para o descarregamento.</v>
      </c>
      <c r="G39" s="78"/>
      <c r="H39" s="78"/>
      <c r="I39" s="78"/>
      <c r="J39" s="78"/>
      <c r="K39" s="78"/>
      <c r="L39" s="78"/>
      <c r="M39" s="78"/>
      <c r="N39" s="78"/>
      <c r="O39" s="78"/>
      <c r="P39" s="79"/>
    </row>
    <row r="40" spans="1:23" ht="115.5" customHeight="1" x14ac:dyDescent="0.25">
      <c r="D40" s="75" t="s">
        <v>27</v>
      </c>
      <c r="E40" s="76"/>
      <c r="F40" s="77" t="str">
        <f>IFERROR(_xlfn.XLOOKUP(_xlfn.XLOOKUP("3ª",$D$3:$D$34,$F$3:$F$34),Tabela1[Remessa],Tabela1[Texto]),"")</f>
        <v/>
      </c>
      <c r="G40" s="78"/>
      <c r="H40" s="78"/>
      <c r="I40" s="78"/>
      <c r="J40" s="78"/>
      <c r="K40" s="78"/>
      <c r="L40" s="78"/>
      <c r="M40" s="78"/>
      <c r="N40" s="78"/>
      <c r="O40" s="78"/>
      <c r="P40" s="79"/>
    </row>
    <row r="41" spans="1:23" ht="91.5" customHeight="1" x14ac:dyDescent="0.25">
      <c r="D41" s="75" t="s">
        <v>28</v>
      </c>
      <c r="E41" s="76"/>
      <c r="F41" s="77" t="str">
        <f>IFERROR(_xlfn.XLOOKUP(_xlfn.XLOOKUP("4ª",$D$3:$D$34,$F$3:$F$34),Tabela1[Remessa],Tabela1[Texto]),"")</f>
        <v/>
      </c>
      <c r="G41" s="78"/>
      <c r="H41" s="78"/>
      <c r="I41" s="78"/>
      <c r="J41" s="78"/>
      <c r="K41" s="78"/>
      <c r="L41" s="78"/>
      <c r="M41" s="78"/>
      <c r="N41" s="78"/>
      <c r="O41" s="78"/>
      <c r="P41" s="79"/>
    </row>
    <row r="42" spans="1:23" ht="42" customHeight="1" x14ac:dyDescent="0.25">
      <c r="D42" s="75" t="s">
        <v>29</v>
      </c>
      <c r="E42" s="76"/>
      <c r="F42" s="77" t="str">
        <f>IFERROR(_xlfn.XLOOKUP(_xlfn.XLOOKUP("5ª",$D$3:$D$34,$F$3:$F$34),Tabela1[Remessa],Tabela1[Texto]),"")</f>
        <v/>
      </c>
      <c r="G42" s="78"/>
      <c r="H42" s="78"/>
      <c r="I42" s="78"/>
      <c r="J42" s="78"/>
      <c r="K42" s="78"/>
      <c r="L42" s="78"/>
      <c r="M42" s="78"/>
      <c r="N42" s="78"/>
      <c r="O42" s="78"/>
      <c r="P42" s="79"/>
    </row>
  </sheetData>
  <sheetProtection sheet="1" objects="1" scenarios="1" formatCells="0" formatColumns="0" formatRows="0" sort="0" autoFilter="0"/>
  <autoFilter ref="D2:P33" xr:uid="{1F98C583-E03F-42A6-AF81-CF42A4817D6A}">
    <filterColumn colId="4">
      <customFilters>
        <customFilter operator="notEqual" val=" "/>
      </customFilters>
    </filterColumn>
  </autoFilter>
  <mergeCells count="17">
    <mergeCell ref="D42:E42"/>
    <mergeCell ref="F42:P42"/>
    <mergeCell ref="D41:E41"/>
    <mergeCell ref="F41:P41"/>
    <mergeCell ref="D38:E38"/>
    <mergeCell ref="F38:P38"/>
    <mergeCell ref="D39:E39"/>
    <mergeCell ref="F39:P39"/>
    <mergeCell ref="D40:E40"/>
    <mergeCell ref="F40:P40"/>
    <mergeCell ref="N35:P35"/>
    <mergeCell ref="D36:I36"/>
    <mergeCell ref="K36:M36"/>
    <mergeCell ref="D37:P37"/>
    <mergeCell ref="D1:E1"/>
    <mergeCell ref="D35:I35"/>
    <mergeCell ref="K35:M35"/>
  </mergeCells>
  <conditionalFormatting sqref="B1">
    <cfRule type="iconSet" priority="5">
      <iconSet iconSet="3Symbols" showValue="0" reverse="1">
        <cfvo type="percent" val="0"/>
        <cfvo type="num" val="2"/>
        <cfvo type="num" val="3"/>
      </iconSet>
    </cfRule>
  </conditionalFormatting>
  <conditionalFormatting sqref="B2:B5">
    <cfRule type="iconSet" priority="66">
      <iconSet iconSet="3Symbols" showValue="0" reverse="1">
        <cfvo type="percent" val="0"/>
        <cfvo type="num" val="2"/>
        <cfvo type="num" val="3"/>
      </iconSet>
    </cfRule>
  </conditionalFormatting>
  <conditionalFormatting sqref="D36:I36">
    <cfRule type="cellIs" dxfId="14" priority="1" operator="equal">
      <formula>"OFERTA FRETEFY"</formula>
    </cfRule>
  </conditionalFormatting>
  <conditionalFormatting sqref="E3:E34">
    <cfRule type="duplicateValues" dxfId="13" priority="9"/>
  </conditionalFormatting>
  <conditionalFormatting sqref="E40:E42">
    <cfRule type="duplicateValues" dxfId="12" priority="8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B8A1-7C82-41A9-ADC5-2BAF12686896}">
  <sheetPr codeName="Planilha2"/>
  <dimension ref="A1:AC283"/>
  <sheetViews>
    <sheetView tabSelected="1" zoomScale="110" zoomScaleNormal="110" workbookViewId="0">
      <pane xSplit="6" ySplit="1" topLeftCell="S270" activePane="bottomRight" state="frozen"/>
      <selection pane="topRight" activeCell="G1" sqref="G1"/>
      <selection pane="bottomLeft" activeCell="A2" sqref="A2"/>
      <selection pane="bottomRight" activeCell="V281" sqref="V281"/>
    </sheetView>
  </sheetViews>
  <sheetFormatPr defaultColWidth="0" defaultRowHeight="15" x14ac:dyDescent="0.25"/>
  <cols>
    <col min="1" max="1" width="4.7109375" bestFit="1" customWidth="1"/>
    <col min="2" max="2" width="15.5703125" customWidth="1"/>
    <col min="3" max="3" width="14.42578125" customWidth="1"/>
    <col min="4" max="4" width="11.42578125" customWidth="1"/>
    <col min="5" max="5" width="12" bestFit="1" customWidth="1"/>
    <col min="6" max="6" width="13" style="21" customWidth="1"/>
    <col min="7" max="7" width="11.5703125" customWidth="1"/>
    <col min="8" max="8" width="22" customWidth="1"/>
    <col min="9" max="9" width="8.5703125" customWidth="1"/>
    <col min="10" max="10" width="11.28515625" bestFit="1" customWidth="1"/>
    <col min="11" max="11" width="9.5703125" customWidth="1"/>
    <col min="12" max="12" width="4.140625" customWidth="1"/>
    <col min="13" max="13" width="22.85546875" customWidth="1"/>
    <col min="14" max="14" width="3.85546875" customWidth="1"/>
    <col min="15" max="15" width="39.42578125" customWidth="1"/>
    <col min="16" max="16" width="16.42578125" customWidth="1"/>
    <col min="17" max="17" width="12" customWidth="1"/>
    <col min="18" max="18" width="255.7109375" hidden="1" customWidth="1"/>
    <col min="19" max="19" width="31.28515625" customWidth="1"/>
    <col min="20" max="20" width="30.28515625" customWidth="1"/>
    <col min="21" max="21" width="13.7109375" customWidth="1"/>
    <col min="22" max="22" width="19.140625" customWidth="1"/>
    <col min="23" max="23" width="14.5703125" customWidth="1"/>
    <col min="24" max="24" width="12.7109375" style="22" customWidth="1"/>
    <col min="25" max="25" width="10.5703125" style="21" customWidth="1"/>
    <col min="26" max="26" width="151.85546875" customWidth="1"/>
    <col min="27" max="27" width="14" bestFit="1" customWidth="1"/>
    <col min="28" max="29" width="0" hidden="1" customWidth="1"/>
    <col min="30" max="16384" width="9.140625" hidden="1"/>
  </cols>
  <sheetData>
    <row r="1" spans="1:26" s="23" customFormat="1" x14ac:dyDescent="0.25">
      <c r="A1" s="23" t="s">
        <v>3</v>
      </c>
      <c r="B1" s="24" t="s">
        <v>30</v>
      </c>
      <c r="C1" s="23" t="s">
        <v>96</v>
      </c>
      <c r="D1" s="23" t="s">
        <v>31</v>
      </c>
      <c r="E1" s="23" t="s">
        <v>32</v>
      </c>
      <c r="F1" s="31" t="s">
        <v>33</v>
      </c>
      <c r="G1" s="23" t="s">
        <v>6</v>
      </c>
      <c r="H1" s="23" t="s">
        <v>34</v>
      </c>
      <c r="I1" s="23" t="s">
        <v>35</v>
      </c>
      <c r="J1" s="23" t="s">
        <v>36</v>
      </c>
      <c r="K1" s="23" t="s">
        <v>37</v>
      </c>
      <c r="L1" s="23" t="s">
        <v>38</v>
      </c>
      <c r="M1" s="23" t="s">
        <v>39</v>
      </c>
      <c r="N1" s="23" t="s">
        <v>40</v>
      </c>
      <c r="O1" s="23" t="s">
        <v>41</v>
      </c>
      <c r="P1" s="23" t="s">
        <v>42</v>
      </c>
      <c r="Q1" s="23" t="s">
        <v>43</v>
      </c>
      <c r="R1" s="23" t="s">
        <v>44</v>
      </c>
      <c r="S1" s="23" t="s">
        <v>45</v>
      </c>
      <c r="T1" s="23" t="s">
        <v>46</v>
      </c>
      <c r="U1" s="25" t="s">
        <v>19</v>
      </c>
      <c r="V1" s="28" t="s">
        <v>2</v>
      </c>
      <c r="W1" s="26" t="s">
        <v>17</v>
      </c>
      <c r="X1" s="27" t="s">
        <v>47</v>
      </c>
      <c r="Y1" s="25" t="s">
        <v>18</v>
      </c>
      <c r="Z1" s="25" t="s">
        <v>48</v>
      </c>
    </row>
    <row r="2" spans="1:26" hidden="1" x14ac:dyDescent="0.25">
      <c r="A2" t="s">
        <v>49</v>
      </c>
      <c r="B2" s="20"/>
      <c r="C2" s="20">
        <v>46120</v>
      </c>
      <c r="D2" t="s">
        <v>100</v>
      </c>
      <c r="E2" t="s">
        <v>101</v>
      </c>
      <c r="F2" s="21">
        <v>80677929</v>
      </c>
      <c r="G2" t="s">
        <v>102</v>
      </c>
      <c r="H2" t="s">
        <v>103</v>
      </c>
      <c r="I2" t="s">
        <v>67</v>
      </c>
      <c r="J2">
        <v>2657.3</v>
      </c>
      <c r="K2">
        <v>2857.5</v>
      </c>
      <c r="L2">
        <v>4</v>
      </c>
      <c r="M2" t="s">
        <v>104</v>
      </c>
      <c r="N2" t="s">
        <v>105</v>
      </c>
      <c r="O2" t="s">
        <v>56</v>
      </c>
      <c r="P2" t="s">
        <v>106</v>
      </c>
      <c r="Q2" t="s">
        <v>107</v>
      </c>
      <c r="R2" t="s">
        <v>108</v>
      </c>
      <c r="S2" t="s">
        <v>61</v>
      </c>
      <c r="T2" t="s">
        <v>276</v>
      </c>
      <c r="U2" t="s">
        <v>53</v>
      </c>
      <c r="V2" t="s">
        <v>53</v>
      </c>
      <c r="W2" t="s">
        <v>54</v>
      </c>
      <c r="X2" s="22">
        <v>7851</v>
      </c>
      <c r="Y2" s="21" t="s">
        <v>55</v>
      </c>
    </row>
    <row r="3" spans="1:26" hidden="1" x14ac:dyDescent="0.25">
      <c r="B3" s="20"/>
      <c r="C3" s="20">
        <v>46120</v>
      </c>
      <c r="D3" t="s">
        <v>100</v>
      </c>
      <c r="E3" t="s">
        <v>109</v>
      </c>
      <c r="F3" s="21">
        <v>80677918</v>
      </c>
      <c r="G3" t="s">
        <v>102</v>
      </c>
      <c r="H3" t="s">
        <v>103</v>
      </c>
      <c r="I3" t="s">
        <v>110</v>
      </c>
      <c r="J3">
        <v>9441.3799999999992</v>
      </c>
      <c r="K3">
        <v>9951.58</v>
      </c>
      <c r="L3">
        <v>15</v>
      </c>
      <c r="M3" t="s">
        <v>104</v>
      </c>
      <c r="N3" t="s">
        <v>105</v>
      </c>
      <c r="O3" t="s">
        <v>111</v>
      </c>
      <c r="P3" t="s">
        <v>106</v>
      </c>
      <c r="Q3" t="s">
        <v>107</v>
      </c>
      <c r="R3" t="s">
        <v>108</v>
      </c>
      <c r="S3" t="s">
        <v>61</v>
      </c>
      <c r="T3" t="s">
        <v>276</v>
      </c>
      <c r="U3" t="s">
        <v>53</v>
      </c>
      <c r="V3" t="s">
        <v>53</v>
      </c>
      <c r="W3" t="s">
        <v>54</v>
      </c>
      <c r="X3" s="22">
        <v>7850</v>
      </c>
      <c r="Y3" s="21" t="s">
        <v>55</v>
      </c>
    </row>
    <row r="4" spans="1:26" hidden="1" x14ac:dyDescent="0.25">
      <c r="A4" t="s">
        <v>60</v>
      </c>
      <c r="B4" s="20"/>
      <c r="C4" s="20">
        <v>46120</v>
      </c>
      <c r="D4" t="s">
        <v>100</v>
      </c>
      <c r="E4" t="s">
        <v>112</v>
      </c>
      <c r="F4" s="21" t="s">
        <v>113</v>
      </c>
      <c r="G4" t="s">
        <v>114</v>
      </c>
      <c r="H4" t="s">
        <v>115</v>
      </c>
      <c r="I4" t="s">
        <v>116</v>
      </c>
      <c r="J4">
        <v>2454.6</v>
      </c>
      <c r="K4">
        <v>2635.5</v>
      </c>
      <c r="L4">
        <v>5</v>
      </c>
      <c r="M4" t="s">
        <v>104</v>
      </c>
      <c r="N4" t="s">
        <v>105</v>
      </c>
      <c r="O4" t="s">
        <v>117</v>
      </c>
      <c r="P4" t="s">
        <v>106</v>
      </c>
      <c r="Q4" t="s">
        <v>118</v>
      </c>
      <c r="R4" t="s">
        <v>119</v>
      </c>
      <c r="S4" t="s">
        <v>61</v>
      </c>
      <c r="T4" t="s">
        <v>276</v>
      </c>
      <c r="U4" t="s">
        <v>53</v>
      </c>
      <c r="V4" t="s">
        <v>53</v>
      </c>
      <c r="W4" t="s">
        <v>54</v>
      </c>
      <c r="X4" s="22">
        <v>7852</v>
      </c>
      <c r="Y4" s="21" t="s">
        <v>55</v>
      </c>
    </row>
    <row r="5" spans="1:26" hidden="1" x14ac:dyDescent="0.25">
      <c r="B5" s="20"/>
      <c r="C5" s="20">
        <v>46120</v>
      </c>
      <c r="D5" t="s">
        <v>100</v>
      </c>
      <c r="E5" t="s">
        <v>120</v>
      </c>
      <c r="F5" s="21" t="s">
        <v>121</v>
      </c>
      <c r="G5" t="s">
        <v>114</v>
      </c>
      <c r="H5" t="s">
        <v>115</v>
      </c>
      <c r="I5" t="s">
        <v>122</v>
      </c>
      <c r="J5">
        <v>4897.5</v>
      </c>
      <c r="K5">
        <v>5396</v>
      </c>
      <c r="L5">
        <v>10</v>
      </c>
      <c r="M5" t="s">
        <v>104</v>
      </c>
      <c r="N5" t="s">
        <v>105</v>
      </c>
      <c r="O5" t="s">
        <v>69</v>
      </c>
      <c r="P5" t="s">
        <v>106</v>
      </c>
      <c r="Q5" t="s">
        <v>118</v>
      </c>
      <c r="R5" t="s">
        <v>123</v>
      </c>
      <c r="S5" t="s">
        <v>61</v>
      </c>
      <c r="T5" t="s">
        <v>276</v>
      </c>
      <c r="U5" t="s">
        <v>53</v>
      </c>
      <c r="V5" t="s">
        <v>53</v>
      </c>
      <c r="W5" t="s">
        <v>54</v>
      </c>
      <c r="X5" s="22">
        <v>7853</v>
      </c>
      <c r="Y5" s="21" t="s">
        <v>55</v>
      </c>
    </row>
    <row r="6" spans="1:26" hidden="1" x14ac:dyDescent="0.25">
      <c r="A6" t="s">
        <v>49</v>
      </c>
      <c r="B6" s="20">
        <v>46119</v>
      </c>
      <c r="C6" s="20">
        <v>46120</v>
      </c>
      <c r="D6" t="s">
        <v>124</v>
      </c>
      <c r="E6" t="s">
        <v>125</v>
      </c>
      <c r="F6" s="21" t="s">
        <v>126</v>
      </c>
      <c r="G6" t="s">
        <v>127</v>
      </c>
      <c r="H6" t="s">
        <v>115</v>
      </c>
      <c r="I6" t="s">
        <v>110</v>
      </c>
      <c r="J6">
        <v>9354.1</v>
      </c>
      <c r="K6">
        <v>9863.5</v>
      </c>
      <c r="L6">
        <v>15</v>
      </c>
      <c r="M6" t="s">
        <v>104</v>
      </c>
      <c r="N6" t="s">
        <v>105</v>
      </c>
      <c r="O6" t="s">
        <v>111</v>
      </c>
      <c r="P6" t="s">
        <v>106</v>
      </c>
      <c r="Q6" t="s">
        <v>118</v>
      </c>
      <c r="R6" t="s">
        <v>119</v>
      </c>
      <c r="S6" t="s">
        <v>61</v>
      </c>
      <c r="T6" t="s">
        <v>255</v>
      </c>
      <c r="U6" t="s">
        <v>53</v>
      </c>
      <c r="V6" t="s">
        <v>53</v>
      </c>
      <c r="W6" t="s">
        <v>54</v>
      </c>
      <c r="X6" s="22" t="s">
        <v>284</v>
      </c>
      <c r="Y6" s="21" t="s">
        <v>55</v>
      </c>
    </row>
    <row r="7" spans="1:26" hidden="1" x14ac:dyDescent="0.25">
      <c r="B7" s="20">
        <v>46119</v>
      </c>
      <c r="C7" s="20">
        <v>46120</v>
      </c>
      <c r="D7" t="s">
        <v>124</v>
      </c>
      <c r="E7" t="s">
        <v>128</v>
      </c>
      <c r="F7" s="21" t="s">
        <v>129</v>
      </c>
      <c r="G7" t="s">
        <v>127</v>
      </c>
      <c r="H7" t="s">
        <v>115</v>
      </c>
      <c r="I7" t="s">
        <v>130</v>
      </c>
      <c r="J7">
        <v>5689.46</v>
      </c>
      <c r="K7">
        <v>6065</v>
      </c>
      <c r="L7">
        <v>8</v>
      </c>
      <c r="M7" t="s">
        <v>104</v>
      </c>
      <c r="N7" t="s">
        <v>105</v>
      </c>
      <c r="O7" t="s">
        <v>131</v>
      </c>
      <c r="P7" t="s">
        <v>106</v>
      </c>
      <c r="Q7" t="s">
        <v>118</v>
      </c>
      <c r="R7" t="s">
        <v>119</v>
      </c>
      <c r="S7" t="s">
        <v>61</v>
      </c>
      <c r="T7" t="s">
        <v>255</v>
      </c>
      <c r="U7" t="s">
        <v>53</v>
      </c>
      <c r="V7" t="s">
        <v>53</v>
      </c>
      <c r="W7" t="s">
        <v>54</v>
      </c>
      <c r="X7" s="22" t="s">
        <v>283</v>
      </c>
      <c r="Y7" s="21" t="s">
        <v>55</v>
      </c>
    </row>
    <row r="8" spans="1:26" hidden="1" x14ac:dyDescent="0.25">
      <c r="A8" t="s">
        <v>60</v>
      </c>
      <c r="B8" s="20">
        <v>46119</v>
      </c>
      <c r="C8" s="20">
        <v>46120</v>
      </c>
      <c r="D8" t="s">
        <v>124</v>
      </c>
      <c r="E8" t="s">
        <v>132</v>
      </c>
      <c r="F8" s="21" t="s">
        <v>133</v>
      </c>
      <c r="G8" t="s">
        <v>134</v>
      </c>
      <c r="H8" t="s">
        <v>135</v>
      </c>
      <c r="I8" t="s">
        <v>136</v>
      </c>
      <c r="J8">
        <v>5082.2999999999993</v>
      </c>
      <c r="K8">
        <v>5994</v>
      </c>
      <c r="L8">
        <v>6</v>
      </c>
      <c r="M8" t="s">
        <v>137</v>
      </c>
      <c r="N8" t="s">
        <v>138</v>
      </c>
      <c r="O8" t="s">
        <v>139</v>
      </c>
      <c r="P8" t="s">
        <v>98</v>
      </c>
      <c r="Q8" t="s">
        <v>51</v>
      </c>
      <c r="R8" t="s">
        <v>140</v>
      </c>
      <c r="S8" t="s">
        <v>61</v>
      </c>
      <c r="T8" t="s">
        <v>255</v>
      </c>
      <c r="U8" t="s">
        <v>53</v>
      </c>
      <c r="V8" t="s">
        <v>53</v>
      </c>
      <c r="W8" t="s">
        <v>54</v>
      </c>
      <c r="X8" s="22" t="s">
        <v>285</v>
      </c>
      <c r="Y8" s="21" t="s">
        <v>55</v>
      </c>
    </row>
    <row r="9" spans="1:26" hidden="1" x14ac:dyDescent="0.25">
      <c r="A9" t="s">
        <v>49</v>
      </c>
      <c r="B9" s="20">
        <v>46119</v>
      </c>
      <c r="C9" s="20">
        <v>46118</v>
      </c>
      <c r="D9" t="s">
        <v>141</v>
      </c>
      <c r="E9" t="s">
        <v>152</v>
      </c>
      <c r="F9" s="21" t="s">
        <v>153</v>
      </c>
      <c r="G9" t="s">
        <v>154</v>
      </c>
      <c r="H9" t="s">
        <v>155</v>
      </c>
      <c r="I9" t="s">
        <v>74</v>
      </c>
      <c r="J9">
        <v>4350</v>
      </c>
      <c r="K9">
        <v>4523.5</v>
      </c>
      <c r="L9">
        <v>7</v>
      </c>
      <c r="M9" t="s">
        <v>156</v>
      </c>
      <c r="N9" t="s">
        <v>97</v>
      </c>
      <c r="O9" t="s">
        <v>50</v>
      </c>
      <c r="P9" t="s">
        <v>150</v>
      </c>
      <c r="Q9" t="s">
        <v>94</v>
      </c>
      <c r="R9" t="s">
        <v>157</v>
      </c>
      <c r="S9" t="s">
        <v>63</v>
      </c>
      <c r="T9" t="s">
        <v>258</v>
      </c>
      <c r="U9" t="s">
        <v>53</v>
      </c>
      <c r="V9" t="s">
        <v>53</v>
      </c>
      <c r="W9" t="s">
        <v>54</v>
      </c>
      <c r="X9" s="22" t="s">
        <v>286</v>
      </c>
      <c r="Y9" s="21" t="s">
        <v>55</v>
      </c>
    </row>
    <row r="10" spans="1:26" hidden="1" x14ac:dyDescent="0.25">
      <c r="A10" t="s">
        <v>60</v>
      </c>
      <c r="B10" s="20">
        <v>46119</v>
      </c>
      <c r="C10" s="20">
        <v>46118</v>
      </c>
      <c r="D10" t="s">
        <v>141</v>
      </c>
      <c r="E10" t="s">
        <v>142</v>
      </c>
      <c r="F10" s="21" t="s">
        <v>143</v>
      </c>
      <c r="G10" t="s">
        <v>144</v>
      </c>
      <c r="H10" t="s">
        <v>145</v>
      </c>
      <c r="I10" t="s">
        <v>146</v>
      </c>
      <c r="J10">
        <v>1445.6469999999999</v>
      </c>
      <c r="K10">
        <v>1513.5</v>
      </c>
      <c r="L10">
        <v>2</v>
      </c>
      <c r="M10" t="s">
        <v>147</v>
      </c>
      <c r="N10" t="s">
        <v>148</v>
      </c>
      <c r="O10" t="s">
        <v>149</v>
      </c>
      <c r="P10" t="s">
        <v>150</v>
      </c>
      <c r="Q10" t="s">
        <v>51</v>
      </c>
      <c r="R10" t="s">
        <v>151</v>
      </c>
      <c r="S10" t="s">
        <v>63</v>
      </c>
      <c r="T10" t="s">
        <v>258</v>
      </c>
      <c r="U10" t="s">
        <v>53</v>
      </c>
      <c r="V10" t="s">
        <v>53</v>
      </c>
      <c r="W10" t="s">
        <v>54</v>
      </c>
      <c r="X10" s="22" t="s">
        <v>287</v>
      </c>
      <c r="Y10" s="21" t="s">
        <v>55</v>
      </c>
    </row>
    <row r="11" spans="1:26" hidden="1" x14ac:dyDescent="0.25">
      <c r="A11" t="s">
        <v>64</v>
      </c>
      <c r="B11" s="20">
        <v>46119</v>
      </c>
      <c r="C11" s="20">
        <v>46121</v>
      </c>
      <c r="D11" t="s">
        <v>141</v>
      </c>
      <c r="E11" t="s">
        <v>158</v>
      </c>
      <c r="F11" s="21" t="s">
        <v>159</v>
      </c>
      <c r="G11" t="s">
        <v>160</v>
      </c>
      <c r="H11" t="s">
        <v>161</v>
      </c>
      <c r="I11" t="s">
        <v>162</v>
      </c>
      <c r="J11">
        <v>1424.48</v>
      </c>
      <c r="K11">
        <v>1509.5</v>
      </c>
      <c r="L11">
        <v>3</v>
      </c>
      <c r="M11" t="s">
        <v>163</v>
      </c>
      <c r="N11" t="s">
        <v>148</v>
      </c>
      <c r="O11" t="s">
        <v>164</v>
      </c>
      <c r="P11" t="s">
        <v>150</v>
      </c>
      <c r="Q11" t="s">
        <v>51</v>
      </c>
      <c r="R11" t="s">
        <v>165</v>
      </c>
      <c r="S11" t="s">
        <v>63</v>
      </c>
      <c r="T11" t="s">
        <v>258</v>
      </c>
      <c r="U11" t="s">
        <v>53</v>
      </c>
      <c r="V11" t="s">
        <v>53</v>
      </c>
      <c r="W11" t="s">
        <v>54</v>
      </c>
      <c r="X11" s="22" t="s">
        <v>288</v>
      </c>
      <c r="Y11" s="21" t="s">
        <v>55</v>
      </c>
    </row>
    <row r="12" spans="1:26" hidden="1" x14ac:dyDescent="0.25">
      <c r="B12" s="20">
        <v>46119</v>
      </c>
      <c r="C12" s="20">
        <v>46121</v>
      </c>
      <c r="D12" t="s">
        <v>141</v>
      </c>
      <c r="E12" t="s">
        <v>166</v>
      </c>
      <c r="F12" s="21" t="s">
        <v>167</v>
      </c>
      <c r="G12" t="s">
        <v>160</v>
      </c>
      <c r="H12" t="s">
        <v>161</v>
      </c>
      <c r="I12" t="s">
        <v>168</v>
      </c>
      <c r="J12">
        <v>1783.69</v>
      </c>
      <c r="K12">
        <v>1918</v>
      </c>
      <c r="L12">
        <v>3</v>
      </c>
      <c r="M12" t="s">
        <v>163</v>
      </c>
      <c r="N12" t="s">
        <v>148</v>
      </c>
      <c r="O12" t="s">
        <v>169</v>
      </c>
      <c r="P12" t="s">
        <v>150</v>
      </c>
      <c r="Q12" t="s">
        <v>51</v>
      </c>
      <c r="R12" t="s">
        <v>165</v>
      </c>
      <c r="S12" t="s">
        <v>63</v>
      </c>
      <c r="T12" t="s">
        <v>258</v>
      </c>
      <c r="U12" t="s">
        <v>53</v>
      </c>
      <c r="V12" t="s">
        <v>53</v>
      </c>
      <c r="W12" t="s">
        <v>54</v>
      </c>
      <c r="X12" s="22" t="s">
        <v>289</v>
      </c>
      <c r="Y12" s="21" t="s">
        <v>55</v>
      </c>
    </row>
    <row r="13" spans="1:26" hidden="1" x14ac:dyDescent="0.25">
      <c r="A13" t="s">
        <v>49</v>
      </c>
      <c r="B13" s="20"/>
      <c r="C13" s="20">
        <v>46120</v>
      </c>
      <c r="D13" t="s">
        <v>170</v>
      </c>
      <c r="E13" t="s">
        <v>171</v>
      </c>
      <c r="F13" s="21" t="s">
        <v>172</v>
      </c>
      <c r="G13" t="s">
        <v>173</v>
      </c>
      <c r="H13" t="s">
        <v>174</v>
      </c>
      <c r="I13" t="s">
        <v>130</v>
      </c>
      <c r="J13">
        <v>1420.74</v>
      </c>
      <c r="K13">
        <v>1514.5</v>
      </c>
      <c r="L13">
        <v>2</v>
      </c>
      <c r="M13" t="s">
        <v>175</v>
      </c>
      <c r="N13" t="s">
        <v>97</v>
      </c>
      <c r="O13" t="s">
        <v>131</v>
      </c>
      <c r="P13" t="s">
        <v>106</v>
      </c>
      <c r="Q13" t="s">
        <v>118</v>
      </c>
      <c r="R13" t="s">
        <v>176</v>
      </c>
      <c r="S13" t="s">
        <v>61</v>
      </c>
      <c r="T13" t="s">
        <v>261</v>
      </c>
      <c r="U13" t="s">
        <v>53</v>
      </c>
      <c r="V13" t="s">
        <v>53</v>
      </c>
      <c r="W13" t="s">
        <v>54</v>
      </c>
      <c r="X13" s="22">
        <v>7847</v>
      </c>
      <c r="Y13" s="21" t="s">
        <v>55</v>
      </c>
    </row>
    <row r="14" spans="1:26" hidden="1" x14ac:dyDescent="0.25">
      <c r="B14" s="20"/>
      <c r="C14" s="20">
        <v>46120</v>
      </c>
      <c r="D14" t="s">
        <v>170</v>
      </c>
      <c r="E14" t="s">
        <v>177</v>
      </c>
      <c r="F14" s="21" t="s">
        <v>178</v>
      </c>
      <c r="G14" t="s">
        <v>173</v>
      </c>
      <c r="H14" t="s">
        <v>174</v>
      </c>
      <c r="I14" t="s">
        <v>122</v>
      </c>
      <c r="J14">
        <v>9834.5</v>
      </c>
      <c r="K14">
        <v>10875.5</v>
      </c>
      <c r="L14">
        <v>20</v>
      </c>
      <c r="M14" t="s">
        <v>175</v>
      </c>
      <c r="N14" t="s">
        <v>97</v>
      </c>
      <c r="O14" t="s">
        <v>69</v>
      </c>
      <c r="P14" t="s">
        <v>106</v>
      </c>
      <c r="Q14" t="s">
        <v>118</v>
      </c>
      <c r="R14" t="s">
        <v>176</v>
      </c>
      <c r="S14" t="s">
        <v>61</v>
      </c>
      <c r="T14" t="s">
        <v>261</v>
      </c>
      <c r="U14" t="s">
        <v>53</v>
      </c>
      <c r="V14" t="s">
        <v>53</v>
      </c>
      <c r="W14" t="s">
        <v>54</v>
      </c>
      <c r="X14" s="22">
        <v>7846</v>
      </c>
      <c r="Y14" s="21" t="s">
        <v>55</v>
      </c>
    </row>
    <row r="15" spans="1:26" hidden="1" x14ac:dyDescent="0.25">
      <c r="B15" s="20"/>
      <c r="C15" s="20">
        <v>46120</v>
      </c>
      <c r="D15" t="s">
        <v>170</v>
      </c>
      <c r="E15" t="s">
        <v>179</v>
      </c>
      <c r="F15" s="21" t="s">
        <v>180</v>
      </c>
      <c r="G15" t="s">
        <v>173</v>
      </c>
      <c r="H15" t="s">
        <v>174</v>
      </c>
      <c r="I15" t="s">
        <v>116</v>
      </c>
      <c r="J15">
        <v>2875.52</v>
      </c>
      <c r="K15">
        <v>3074</v>
      </c>
      <c r="L15">
        <v>6</v>
      </c>
      <c r="M15" t="s">
        <v>175</v>
      </c>
      <c r="N15" t="s">
        <v>97</v>
      </c>
      <c r="O15" t="s">
        <v>117</v>
      </c>
      <c r="P15" t="s">
        <v>106</v>
      </c>
      <c r="Q15" t="s">
        <v>118</v>
      </c>
      <c r="R15" t="s">
        <v>176</v>
      </c>
      <c r="S15" t="s">
        <v>61</v>
      </c>
      <c r="T15" t="s">
        <v>261</v>
      </c>
      <c r="U15" t="s">
        <v>53</v>
      </c>
      <c r="V15" t="s">
        <v>53</v>
      </c>
      <c r="W15" t="s">
        <v>54</v>
      </c>
      <c r="X15" s="22">
        <v>7845</v>
      </c>
      <c r="Y15" s="21" t="s">
        <v>55</v>
      </c>
    </row>
    <row r="16" spans="1:26" hidden="1" x14ac:dyDescent="0.25">
      <c r="B16" s="20"/>
      <c r="C16" s="20">
        <v>46122</v>
      </c>
      <c r="D16" t="s">
        <v>170</v>
      </c>
      <c r="E16" t="s">
        <v>181</v>
      </c>
      <c r="F16" s="21" t="s">
        <v>182</v>
      </c>
      <c r="G16" t="s">
        <v>173</v>
      </c>
      <c r="H16" t="s">
        <v>174</v>
      </c>
      <c r="I16" t="s">
        <v>183</v>
      </c>
      <c r="J16">
        <v>9845.34</v>
      </c>
      <c r="K16">
        <v>10576</v>
      </c>
      <c r="L16">
        <v>18</v>
      </c>
      <c r="M16" t="s">
        <v>175</v>
      </c>
      <c r="N16" t="s">
        <v>97</v>
      </c>
      <c r="O16" t="s">
        <v>184</v>
      </c>
      <c r="P16" t="s">
        <v>106</v>
      </c>
      <c r="Q16" t="s">
        <v>185</v>
      </c>
      <c r="R16" t="s">
        <v>176</v>
      </c>
      <c r="S16" t="s">
        <v>61</v>
      </c>
      <c r="T16" t="s">
        <v>261</v>
      </c>
      <c r="U16" t="s">
        <v>53</v>
      </c>
      <c r="V16" t="s">
        <v>53</v>
      </c>
      <c r="W16" t="s">
        <v>54</v>
      </c>
      <c r="X16" s="22">
        <v>7848</v>
      </c>
      <c r="Y16" s="21" t="s">
        <v>55</v>
      </c>
    </row>
    <row r="17" spans="1:25" hidden="1" x14ac:dyDescent="0.25">
      <c r="A17" t="s">
        <v>49</v>
      </c>
      <c r="B17" s="20">
        <v>46119</v>
      </c>
      <c r="C17" s="20">
        <v>46119</v>
      </c>
      <c r="D17" t="s">
        <v>186</v>
      </c>
      <c r="E17" t="s">
        <v>204</v>
      </c>
      <c r="F17" s="21" t="s">
        <v>205</v>
      </c>
      <c r="G17" t="s">
        <v>206</v>
      </c>
      <c r="H17" t="s">
        <v>207</v>
      </c>
      <c r="I17" t="s">
        <v>99</v>
      </c>
      <c r="J17">
        <v>8575.7000000000007</v>
      </c>
      <c r="K17">
        <v>9284.5</v>
      </c>
      <c r="L17">
        <v>13</v>
      </c>
      <c r="M17" t="s">
        <v>208</v>
      </c>
      <c r="N17" t="s">
        <v>209</v>
      </c>
      <c r="O17" t="s">
        <v>75</v>
      </c>
      <c r="P17" t="s">
        <v>150</v>
      </c>
      <c r="Q17" t="s">
        <v>210</v>
      </c>
      <c r="R17" t="s">
        <v>58</v>
      </c>
      <c r="S17" t="s">
        <v>61</v>
      </c>
      <c r="T17" t="s">
        <v>259</v>
      </c>
      <c r="U17" s="55" t="s">
        <v>53</v>
      </c>
      <c r="V17" s="55" t="s">
        <v>53</v>
      </c>
      <c r="W17" s="55" t="s">
        <v>54</v>
      </c>
      <c r="X17" s="22">
        <v>7832</v>
      </c>
      <c r="Y17" s="21" t="s">
        <v>55</v>
      </c>
    </row>
    <row r="18" spans="1:25" hidden="1" x14ac:dyDescent="0.25">
      <c r="A18" t="s">
        <v>60</v>
      </c>
      <c r="B18" s="20">
        <v>46119</v>
      </c>
      <c r="C18" s="20">
        <v>46120</v>
      </c>
      <c r="D18" t="s">
        <v>186</v>
      </c>
      <c r="E18" t="s">
        <v>187</v>
      </c>
      <c r="F18" s="21" t="s">
        <v>188</v>
      </c>
      <c r="G18" t="s">
        <v>189</v>
      </c>
      <c r="H18" t="s">
        <v>190</v>
      </c>
      <c r="I18" t="s">
        <v>191</v>
      </c>
      <c r="J18">
        <v>2698.84</v>
      </c>
      <c r="K18">
        <v>2871</v>
      </c>
      <c r="L18">
        <v>5</v>
      </c>
      <c r="M18" t="s">
        <v>192</v>
      </c>
      <c r="N18" t="s">
        <v>193</v>
      </c>
      <c r="O18" t="s">
        <v>194</v>
      </c>
      <c r="P18" t="s">
        <v>150</v>
      </c>
      <c r="Q18" t="s">
        <v>51</v>
      </c>
      <c r="R18" t="s">
        <v>195</v>
      </c>
      <c r="S18" t="s">
        <v>61</v>
      </c>
      <c r="T18" t="s">
        <v>259</v>
      </c>
      <c r="U18" t="s">
        <v>53</v>
      </c>
      <c r="V18" t="s">
        <v>53</v>
      </c>
      <c r="W18" t="s">
        <v>54</v>
      </c>
      <c r="X18" s="22">
        <v>7837</v>
      </c>
      <c r="Y18" s="21" t="s">
        <v>55</v>
      </c>
    </row>
    <row r="19" spans="1:25" hidden="1" x14ac:dyDescent="0.25">
      <c r="B19" s="20">
        <v>46119</v>
      </c>
      <c r="C19" s="20">
        <v>46120</v>
      </c>
      <c r="D19" t="s">
        <v>186</v>
      </c>
      <c r="E19" t="s">
        <v>196</v>
      </c>
      <c r="F19" s="21" t="s">
        <v>197</v>
      </c>
      <c r="G19" t="s">
        <v>189</v>
      </c>
      <c r="H19" t="s">
        <v>190</v>
      </c>
      <c r="I19" t="s">
        <v>198</v>
      </c>
      <c r="J19">
        <v>3722.04</v>
      </c>
      <c r="K19">
        <v>3979.56</v>
      </c>
      <c r="L19">
        <v>7</v>
      </c>
      <c r="M19" t="s">
        <v>192</v>
      </c>
      <c r="N19" t="s">
        <v>193</v>
      </c>
      <c r="O19" t="s">
        <v>199</v>
      </c>
      <c r="P19" t="s">
        <v>150</v>
      </c>
      <c r="Q19" t="s">
        <v>51</v>
      </c>
      <c r="R19" t="s">
        <v>195</v>
      </c>
      <c r="S19" t="s">
        <v>61</v>
      </c>
      <c r="T19" t="s">
        <v>259</v>
      </c>
      <c r="U19" t="s">
        <v>53</v>
      </c>
      <c r="V19" t="s">
        <v>53</v>
      </c>
      <c r="W19" t="s">
        <v>54</v>
      </c>
      <c r="X19" s="22">
        <v>7835</v>
      </c>
      <c r="Y19" s="21" t="s">
        <v>55</v>
      </c>
    </row>
    <row r="20" spans="1:25" hidden="1" x14ac:dyDescent="0.25">
      <c r="B20" s="20">
        <v>46119</v>
      </c>
      <c r="C20" s="20">
        <v>46120</v>
      </c>
      <c r="D20" t="s">
        <v>186</v>
      </c>
      <c r="E20" t="s">
        <v>200</v>
      </c>
      <c r="F20" s="21" t="s">
        <v>201</v>
      </c>
      <c r="G20" t="s">
        <v>189</v>
      </c>
      <c r="H20" t="s">
        <v>190</v>
      </c>
      <c r="I20" t="s">
        <v>74</v>
      </c>
      <c r="J20">
        <v>625.5</v>
      </c>
      <c r="K20">
        <v>649.5</v>
      </c>
      <c r="L20">
        <v>1</v>
      </c>
      <c r="M20" t="s">
        <v>192</v>
      </c>
      <c r="N20" t="s">
        <v>193</v>
      </c>
      <c r="O20" t="s">
        <v>50</v>
      </c>
      <c r="P20" t="s">
        <v>150</v>
      </c>
      <c r="Q20" t="s">
        <v>51</v>
      </c>
      <c r="R20" t="s">
        <v>195</v>
      </c>
      <c r="S20" t="s">
        <v>61</v>
      </c>
      <c r="T20" t="s">
        <v>259</v>
      </c>
      <c r="U20" t="s">
        <v>53</v>
      </c>
      <c r="V20" t="s">
        <v>53</v>
      </c>
      <c r="W20" t="s">
        <v>54</v>
      </c>
      <c r="X20" s="22">
        <v>7833</v>
      </c>
      <c r="Y20" s="21" t="s">
        <v>55</v>
      </c>
    </row>
    <row r="21" spans="1:25" hidden="1" x14ac:dyDescent="0.25">
      <c r="B21" s="20">
        <v>46119</v>
      </c>
      <c r="C21" s="20">
        <v>46120</v>
      </c>
      <c r="D21" t="s">
        <v>186</v>
      </c>
      <c r="E21" t="s">
        <v>202</v>
      </c>
      <c r="F21" s="21" t="s">
        <v>203</v>
      </c>
      <c r="G21" t="s">
        <v>189</v>
      </c>
      <c r="H21" t="s">
        <v>190</v>
      </c>
      <c r="I21" t="s">
        <v>68</v>
      </c>
      <c r="J21">
        <v>651.5</v>
      </c>
      <c r="K21">
        <v>707</v>
      </c>
      <c r="L21">
        <v>1</v>
      </c>
      <c r="M21" t="s">
        <v>192</v>
      </c>
      <c r="N21" t="s">
        <v>193</v>
      </c>
      <c r="O21" t="s">
        <v>50</v>
      </c>
      <c r="P21" t="s">
        <v>150</v>
      </c>
      <c r="Q21" t="s">
        <v>51</v>
      </c>
      <c r="R21" t="s">
        <v>195</v>
      </c>
      <c r="S21" t="s">
        <v>61</v>
      </c>
      <c r="T21" t="s">
        <v>259</v>
      </c>
      <c r="U21" t="s">
        <v>53</v>
      </c>
      <c r="V21" t="s">
        <v>53</v>
      </c>
      <c r="W21" t="s">
        <v>54</v>
      </c>
      <c r="X21" s="22">
        <v>7834</v>
      </c>
      <c r="Y21" s="21" t="s">
        <v>55</v>
      </c>
    </row>
    <row r="22" spans="1:25" hidden="1" x14ac:dyDescent="0.25">
      <c r="A22" t="s">
        <v>49</v>
      </c>
      <c r="B22" s="20">
        <v>46119</v>
      </c>
      <c r="C22" s="20">
        <v>46115</v>
      </c>
      <c r="D22" t="s">
        <v>211</v>
      </c>
      <c r="E22" t="s">
        <v>212</v>
      </c>
      <c r="F22" s="21" t="s">
        <v>213</v>
      </c>
      <c r="G22" t="s">
        <v>214</v>
      </c>
      <c r="H22" t="s">
        <v>215</v>
      </c>
      <c r="I22" t="s">
        <v>73</v>
      </c>
      <c r="J22">
        <v>1298.5</v>
      </c>
      <c r="K22">
        <v>1409.5</v>
      </c>
      <c r="L22">
        <v>2</v>
      </c>
      <c r="M22" t="s">
        <v>216</v>
      </c>
      <c r="N22" t="s">
        <v>148</v>
      </c>
      <c r="O22" t="s">
        <v>50</v>
      </c>
      <c r="P22" t="s">
        <v>150</v>
      </c>
      <c r="Q22" t="s">
        <v>217</v>
      </c>
      <c r="R22" t="s">
        <v>218</v>
      </c>
      <c r="T22" t="s">
        <v>276</v>
      </c>
      <c r="U22" t="s">
        <v>53</v>
      </c>
      <c r="V22" t="s">
        <v>53</v>
      </c>
      <c r="W22" t="s">
        <v>54</v>
      </c>
      <c r="X22" s="22">
        <v>7836</v>
      </c>
      <c r="Y22" s="21" t="s">
        <v>55</v>
      </c>
    </row>
    <row r="23" spans="1:25" hidden="1" x14ac:dyDescent="0.25">
      <c r="A23" t="s">
        <v>60</v>
      </c>
      <c r="B23" s="20">
        <v>46119</v>
      </c>
      <c r="C23" s="20">
        <v>46120</v>
      </c>
      <c r="D23" t="s">
        <v>211</v>
      </c>
      <c r="E23" t="s">
        <v>219</v>
      </c>
      <c r="F23" s="21" t="s">
        <v>220</v>
      </c>
      <c r="G23" t="s">
        <v>221</v>
      </c>
      <c r="H23" t="s">
        <v>222</v>
      </c>
      <c r="I23" t="s">
        <v>68</v>
      </c>
      <c r="J23">
        <v>3924.5</v>
      </c>
      <c r="K23">
        <v>4251</v>
      </c>
      <c r="L23">
        <v>6</v>
      </c>
      <c r="M23" t="s">
        <v>216</v>
      </c>
      <c r="N23" t="s">
        <v>148</v>
      </c>
      <c r="O23" t="s">
        <v>50</v>
      </c>
      <c r="P23" t="s">
        <v>106</v>
      </c>
      <c r="Q23" t="s">
        <v>118</v>
      </c>
      <c r="R23" t="s">
        <v>223</v>
      </c>
      <c r="T23" t="s">
        <v>276</v>
      </c>
      <c r="U23" t="s">
        <v>53</v>
      </c>
      <c r="V23" t="s">
        <v>53</v>
      </c>
      <c r="W23" t="s">
        <v>54</v>
      </c>
      <c r="X23" s="22">
        <v>7840</v>
      </c>
      <c r="Y23" s="21" t="s">
        <v>55</v>
      </c>
    </row>
    <row r="24" spans="1:25" hidden="1" x14ac:dyDescent="0.25">
      <c r="B24" s="20">
        <v>46119</v>
      </c>
      <c r="C24" s="20">
        <v>46120</v>
      </c>
      <c r="D24" t="s">
        <v>211</v>
      </c>
      <c r="E24" t="s">
        <v>224</v>
      </c>
      <c r="F24" s="21" t="s">
        <v>225</v>
      </c>
      <c r="G24" t="s">
        <v>221</v>
      </c>
      <c r="H24" t="s">
        <v>222</v>
      </c>
      <c r="I24" t="s">
        <v>226</v>
      </c>
      <c r="J24">
        <v>7712.1000000000022</v>
      </c>
      <c r="K24">
        <v>8208.5</v>
      </c>
      <c r="L24">
        <v>16</v>
      </c>
      <c r="M24" t="s">
        <v>216</v>
      </c>
      <c r="N24" t="s">
        <v>148</v>
      </c>
      <c r="O24" t="s">
        <v>227</v>
      </c>
      <c r="P24" t="s">
        <v>106</v>
      </c>
      <c r="Q24" t="s">
        <v>118</v>
      </c>
      <c r="R24" t="s">
        <v>223</v>
      </c>
      <c r="T24" t="s">
        <v>276</v>
      </c>
      <c r="U24" t="s">
        <v>53</v>
      </c>
      <c r="V24" t="s">
        <v>53</v>
      </c>
      <c r="W24" t="s">
        <v>54</v>
      </c>
      <c r="X24" s="22">
        <v>7839</v>
      </c>
      <c r="Y24" s="21" t="s">
        <v>55</v>
      </c>
    </row>
    <row r="25" spans="1:25" hidden="1" x14ac:dyDescent="0.25">
      <c r="B25" s="20">
        <v>46119</v>
      </c>
      <c r="C25" s="20">
        <v>46120</v>
      </c>
      <c r="D25" t="s">
        <v>211</v>
      </c>
      <c r="E25" t="s">
        <v>228</v>
      </c>
      <c r="F25" s="21" t="s">
        <v>229</v>
      </c>
      <c r="G25" t="s">
        <v>221</v>
      </c>
      <c r="H25" t="s">
        <v>222</v>
      </c>
      <c r="I25" t="s">
        <v>116</v>
      </c>
      <c r="J25">
        <v>5107.78</v>
      </c>
      <c r="K25">
        <v>5490</v>
      </c>
      <c r="L25">
        <v>11</v>
      </c>
      <c r="M25" t="s">
        <v>216</v>
      </c>
      <c r="N25" t="s">
        <v>148</v>
      </c>
      <c r="O25" t="s">
        <v>117</v>
      </c>
      <c r="P25" t="s">
        <v>106</v>
      </c>
      <c r="Q25" t="s">
        <v>118</v>
      </c>
      <c r="R25" t="s">
        <v>223</v>
      </c>
      <c r="T25" t="s">
        <v>276</v>
      </c>
      <c r="U25" t="s">
        <v>53</v>
      </c>
      <c r="V25" t="s">
        <v>53</v>
      </c>
      <c r="W25" t="s">
        <v>54</v>
      </c>
      <c r="X25" s="22">
        <v>7838</v>
      </c>
      <c r="Y25" s="21" t="s">
        <v>55</v>
      </c>
    </row>
    <row r="26" spans="1:25" hidden="1" x14ac:dyDescent="0.25">
      <c r="B26" s="20">
        <v>46119</v>
      </c>
      <c r="C26" s="20">
        <v>46120</v>
      </c>
      <c r="D26" t="s">
        <v>211</v>
      </c>
      <c r="E26" t="s">
        <v>230</v>
      </c>
      <c r="F26" s="21" t="s">
        <v>231</v>
      </c>
      <c r="G26" t="s">
        <v>221</v>
      </c>
      <c r="H26" t="s">
        <v>222</v>
      </c>
      <c r="I26" t="s">
        <v>232</v>
      </c>
      <c r="J26">
        <v>1490.08</v>
      </c>
      <c r="K26">
        <v>1565.42</v>
      </c>
      <c r="L26">
        <v>2</v>
      </c>
      <c r="M26" t="s">
        <v>216</v>
      </c>
      <c r="N26" t="s">
        <v>148</v>
      </c>
      <c r="O26" t="s">
        <v>233</v>
      </c>
      <c r="P26" t="s">
        <v>106</v>
      </c>
      <c r="Q26" t="s">
        <v>118</v>
      </c>
      <c r="R26" t="s">
        <v>223</v>
      </c>
      <c r="T26" t="s">
        <v>276</v>
      </c>
      <c r="U26" t="s">
        <v>53</v>
      </c>
      <c r="V26" t="s">
        <v>53</v>
      </c>
      <c r="W26" t="s">
        <v>54</v>
      </c>
      <c r="X26" s="22">
        <v>7841</v>
      </c>
      <c r="Y26" s="21" t="s">
        <v>55</v>
      </c>
    </row>
    <row r="27" spans="1:25" hidden="1" x14ac:dyDescent="0.25">
      <c r="A27" t="s">
        <v>49</v>
      </c>
      <c r="B27" s="20">
        <v>46120</v>
      </c>
      <c r="C27" s="20">
        <v>46120</v>
      </c>
      <c r="D27" t="s">
        <v>234</v>
      </c>
      <c r="E27" t="s">
        <v>235</v>
      </c>
      <c r="F27" s="21" t="s">
        <v>236</v>
      </c>
      <c r="G27" t="s">
        <v>237</v>
      </c>
      <c r="H27" t="s">
        <v>222</v>
      </c>
      <c r="I27" t="s">
        <v>122</v>
      </c>
      <c r="J27">
        <v>9826.5</v>
      </c>
      <c r="K27">
        <v>10773</v>
      </c>
      <c r="L27">
        <v>20</v>
      </c>
      <c r="M27" t="s">
        <v>216</v>
      </c>
      <c r="N27" t="s">
        <v>148</v>
      </c>
      <c r="O27" t="s">
        <v>69</v>
      </c>
      <c r="P27" t="s">
        <v>106</v>
      </c>
      <c r="Q27" t="s">
        <v>118</v>
      </c>
      <c r="R27" t="s">
        <v>223</v>
      </c>
      <c r="T27" t="s">
        <v>276</v>
      </c>
      <c r="U27" t="s">
        <v>53</v>
      </c>
      <c r="V27" t="s">
        <v>53</v>
      </c>
      <c r="W27" t="s">
        <v>54</v>
      </c>
      <c r="X27" s="22">
        <v>7842</v>
      </c>
      <c r="Y27" s="21" t="s">
        <v>55</v>
      </c>
    </row>
    <row r="28" spans="1:25" hidden="1" x14ac:dyDescent="0.25">
      <c r="B28" s="20">
        <v>46120</v>
      </c>
      <c r="C28" s="20">
        <v>46121</v>
      </c>
      <c r="D28" t="s">
        <v>234</v>
      </c>
      <c r="E28" t="s">
        <v>238</v>
      </c>
      <c r="F28" s="21" t="s">
        <v>239</v>
      </c>
      <c r="G28" t="s">
        <v>237</v>
      </c>
      <c r="H28" t="s">
        <v>222</v>
      </c>
      <c r="I28" t="s">
        <v>240</v>
      </c>
      <c r="J28">
        <v>9854.48</v>
      </c>
      <c r="K28">
        <v>10527.42</v>
      </c>
      <c r="L28">
        <v>16</v>
      </c>
      <c r="M28" t="s">
        <v>216</v>
      </c>
      <c r="N28" t="s">
        <v>148</v>
      </c>
      <c r="O28" t="s">
        <v>241</v>
      </c>
      <c r="P28" t="s">
        <v>106</v>
      </c>
      <c r="Q28" t="s">
        <v>118</v>
      </c>
      <c r="R28" t="s">
        <v>223</v>
      </c>
      <c r="T28" t="s">
        <v>276</v>
      </c>
      <c r="U28" t="s">
        <v>53</v>
      </c>
      <c r="V28" t="s">
        <v>53</v>
      </c>
      <c r="W28" t="s">
        <v>54</v>
      </c>
      <c r="X28" s="22">
        <v>7843</v>
      </c>
      <c r="Y28" s="21" t="s">
        <v>55</v>
      </c>
    </row>
    <row r="29" spans="1:25" hidden="1" x14ac:dyDescent="0.25">
      <c r="A29" t="s">
        <v>49</v>
      </c>
      <c r="B29" s="20">
        <v>46120</v>
      </c>
      <c r="C29" s="20">
        <v>46120</v>
      </c>
      <c r="D29" t="s">
        <v>242</v>
      </c>
      <c r="E29" t="s">
        <v>243</v>
      </c>
      <c r="F29" s="21" t="s">
        <v>244</v>
      </c>
      <c r="G29" t="s">
        <v>245</v>
      </c>
      <c r="H29" t="s">
        <v>174</v>
      </c>
      <c r="I29" t="s">
        <v>240</v>
      </c>
      <c r="J29">
        <v>15514.06</v>
      </c>
      <c r="K29">
        <v>16571</v>
      </c>
      <c r="L29">
        <v>25</v>
      </c>
      <c r="M29" t="s">
        <v>175</v>
      </c>
      <c r="N29" t="s">
        <v>97</v>
      </c>
      <c r="O29" t="s">
        <v>241</v>
      </c>
      <c r="P29" t="s">
        <v>106</v>
      </c>
      <c r="Q29" t="s">
        <v>118</v>
      </c>
      <c r="R29" t="s">
        <v>176</v>
      </c>
      <c r="T29" t="s">
        <v>276</v>
      </c>
      <c r="U29" t="s">
        <v>53</v>
      </c>
      <c r="V29" t="s">
        <v>53</v>
      </c>
      <c r="W29" t="s">
        <v>54</v>
      </c>
      <c r="X29" s="22">
        <v>7849</v>
      </c>
      <c r="Y29" s="21" t="s">
        <v>55</v>
      </c>
    </row>
    <row r="30" spans="1:25" hidden="1" x14ac:dyDescent="0.25">
      <c r="A30" t="s">
        <v>49</v>
      </c>
      <c r="B30" s="20">
        <v>46119</v>
      </c>
      <c r="C30" s="20">
        <v>46119</v>
      </c>
      <c r="D30" t="s">
        <v>250</v>
      </c>
      <c r="E30" t="s">
        <v>246</v>
      </c>
      <c r="F30" s="21" t="s">
        <v>247</v>
      </c>
      <c r="G30" t="s">
        <v>58</v>
      </c>
      <c r="H30" t="s">
        <v>290</v>
      </c>
      <c r="I30" t="s">
        <v>74</v>
      </c>
      <c r="J30">
        <v>620</v>
      </c>
      <c r="K30">
        <v>644</v>
      </c>
      <c r="L30">
        <v>1</v>
      </c>
      <c r="M30" t="s">
        <v>248</v>
      </c>
      <c r="N30" t="s">
        <v>97</v>
      </c>
      <c r="O30" t="s">
        <v>50</v>
      </c>
      <c r="Q30" t="s">
        <v>249</v>
      </c>
      <c r="R30" t="s">
        <v>58</v>
      </c>
      <c r="T30" t="s">
        <v>263</v>
      </c>
      <c r="U30" t="s">
        <v>53</v>
      </c>
      <c r="V30" t="s">
        <v>53</v>
      </c>
      <c r="W30" t="s">
        <v>54</v>
      </c>
      <c r="X30" s="22">
        <v>7844</v>
      </c>
      <c r="Y30" s="21" t="s">
        <v>55</v>
      </c>
    </row>
    <row r="31" spans="1:25" hidden="1" x14ac:dyDescent="0.25">
      <c r="A31" t="s">
        <v>49</v>
      </c>
      <c r="B31" s="20">
        <v>46122</v>
      </c>
      <c r="C31" s="20">
        <v>46125</v>
      </c>
      <c r="D31" t="s">
        <v>313</v>
      </c>
      <c r="E31" t="s">
        <v>291</v>
      </c>
      <c r="F31" s="21" t="s">
        <v>292</v>
      </c>
      <c r="G31">
        <v>6100290121</v>
      </c>
      <c r="H31" t="s">
        <v>293</v>
      </c>
      <c r="I31" t="s">
        <v>74</v>
      </c>
      <c r="J31" s="56">
        <v>2498</v>
      </c>
      <c r="K31" s="56">
        <v>2595.5</v>
      </c>
      <c r="L31">
        <v>4</v>
      </c>
      <c r="M31" t="s">
        <v>294</v>
      </c>
      <c r="N31" t="s">
        <v>295</v>
      </c>
      <c r="O31" t="s">
        <v>50</v>
      </c>
      <c r="P31" t="s">
        <v>150</v>
      </c>
      <c r="Q31" t="s">
        <v>51</v>
      </c>
      <c r="R31" t="s">
        <v>296</v>
      </c>
      <c r="S31" t="s">
        <v>63</v>
      </c>
      <c r="T31" t="s">
        <v>276</v>
      </c>
      <c r="U31" t="s">
        <v>53</v>
      </c>
      <c r="V31" t="s">
        <v>53</v>
      </c>
      <c r="W31" t="s">
        <v>54</v>
      </c>
      <c r="X31" s="22">
        <v>7876</v>
      </c>
      <c r="Y31" s="21" t="s">
        <v>55</v>
      </c>
    </row>
    <row r="32" spans="1:25" hidden="1" x14ac:dyDescent="0.25">
      <c r="A32" t="s">
        <v>60</v>
      </c>
      <c r="B32" s="20">
        <v>46122</v>
      </c>
      <c r="C32" s="20">
        <v>46126</v>
      </c>
      <c r="D32" t="s">
        <v>313</v>
      </c>
      <c r="E32" t="s">
        <v>297</v>
      </c>
      <c r="F32" s="21" t="s">
        <v>298</v>
      </c>
      <c r="G32">
        <v>6100290047</v>
      </c>
      <c r="H32" t="s">
        <v>299</v>
      </c>
      <c r="I32" t="s">
        <v>300</v>
      </c>
      <c r="J32" s="53">
        <v>3227.18</v>
      </c>
      <c r="K32" s="54">
        <v>3349.5</v>
      </c>
      <c r="L32">
        <v>5</v>
      </c>
      <c r="M32" t="s">
        <v>301</v>
      </c>
      <c r="N32" t="s">
        <v>302</v>
      </c>
      <c r="O32" t="s">
        <v>303</v>
      </c>
      <c r="P32" t="s">
        <v>150</v>
      </c>
      <c r="Q32" t="s">
        <v>51</v>
      </c>
      <c r="R32" t="s">
        <v>304</v>
      </c>
      <c r="S32" t="s">
        <v>63</v>
      </c>
      <c r="T32" t="s">
        <v>276</v>
      </c>
      <c r="U32" t="s">
        <v>53</v>
      </c>
      <c r="V32" t="s">
        <v>53</v>
      </c>
      <c r="W32" t="s">
        <v>54</v>
      </c>
      <c r="X32" s="22">
        <v>7877</v>
      </c>
      <c r="Y32" s="21" t="s">
        <v>55</v>
      </c>
    </row>
    <row r="33" spans="1:25" hidden="1" x14ac:dyDescent="0.25">
      <c r="A33" t="s">
        <v>64</v>
      </c>
      <c r="B33" s="20">
        <v>46122</v>
      </c>
      <c r="C33" s="20">
        <v>46126</v>
      </c>
      <c r="D33" t="s">
        <v>313</v>
      </c>
      <c r="E33" t="s">
        <v>305</v>
      </c>
      <c r="F33" s="21" t="s">
        <v>306</v>
      </c>
      <c r="G33">
        <v>6100290150</v>
      </c>
      <c r="H33" t="s">
        <v>307</v>
      </c>
      <c r="I33" t="s">
        <v>308</v>
      </c>
      <c r="J33" s="53">
        <v>3500.7999999999993</v>
      </c>
      <c r="K33" s="54">
        <v>3938</v>
      </c>
      <c r="L33">
        <v>9</v>
      </c>
      <c r="M33" t="s">
        <v>309</v>
      </c>
      <c r="N33" t="s">
        <v>302</v>
      </c>
      <c r="O33" t="s">
        <v>310</v>
      </c>
      <c r="P33" t="s">
        <v>106</v>
      </c>
      <c r="Q33" t="s">
        <v>311</v>
      </c>
      <c r="R33" t="s">
        <v>312</v>
      </c>
      <c r="S33" t="s">
        <v>63</v>
      </c>
      <c r="T33" t="s">
        <v>276</v>
      </c>
      <c r="U33" t="s">
        <v>53</v>
      </c>
      <c r="V33" t="s">
        <v>53</v>
      </c>
      <c r="W33" t="s">
        <v>54</v>
      </c>
      <c r="X33" s="22">
        <v>7878</v>
      </c>
      <c r="Y33" s="21" t="s">
        <v>55</v>
      </c>
    </row>
    <row r="34" spans="1:25" hidden="1" x14ac:dyDescent="0.25">
      <c r="A34" t="s">
        <v>49</v>
      </c>
      <c r="B34" s="20">
        <v>46126</v>
      </c>
      <c r="C34" s="20">
        <v>46127</v>
      </c>
      <c r="D34" t="s">
        <v>329</v>
      </c>
      <c r="E34" t="s">
        <v>314</v>
      </c>
      <c r="F34" s="21" t="s">
        <v>315</v>
      </c>
      <c r="G34">
        <v>6100291059</v>
      </c>
      <c r="H34" t="s">
        <v>103</v>
      </c>
      <c r="I34" t="s">
        <v>110</v>
      </c>
      <c r="J34" s="56">
        <v>9293.76</v>
      </c>
      <c r="K34" s="56">
        <v>9831.08</v>
      </c>
      <c r="L34">
        <v>15</v>
      </c>
      <c r="M34" t="s">
        <v>104</v>
      </c>
      <c r="N34" t="s">
        <v>105</v>
      </c>
      <c r="O34" t="s">
        <v>111</v>
      </c>
      <c r="P34" t="s">
        <v>106</v>
      </c>
      <c r="Q34" t="s">
        <v>316</v>
      </c>
      <c r="R34" t="s">
        <v>108</v>
      </c>
      <c r="S34" t="s">
        <v>70</v>
      </c>
      <c r="T34" t="s">
        <v>276</v>
      </c>
      <c r="U34" t="s">
        <v>53</v>
      </c>
      <c r="V34" t="s">
        <v>53</v>
      </c>
      <c r="W34" t="s">
        <v>54</v>
      </c>
      <c r="X34" s="22">
        <v>7896</v>
      </c>
      <c r="Y34" s="21" t="s">
        <v>55</v>
      </c>
    </row>
    <row r="35" spans="1:25" hidden="1" x14ac:dyDescent="0.25">
      <c r="A35" t="s">
        <v>60</v>
      </c>
      <c r="B35" s="20">
        <v>46126</v>
      </c>
      <c r="C35" s="20">
        <v>46127</v>
      </c>
      <c r="D35" t="s">
        <v>329</v>
      </c>
      <c r="E35" t="s">
        <v>317</v>
      </c>
      <c r="F35" s="21" t="s">
        <v>318</v>
      </c>
      <c r="G35">
        <v>6100291061</v>
      </c>
      <c r="H35" t="s">
        <v>115</v>
      </c>
      <c r="I35" t="s">
        <v>240</v>
      </c>
      <c r="J35" s="56">
        <v>3695.08</v>
      </c>
      <c r="K35" s="56">
        <v>3949</v>
      </c>
      <c r="L35">
        <v>6</v>
      </c>
      <c r="M35" t="s">
        <v>104</v>
      </c>
      <c r="N35" t="s">
        <v>105</v>
      </c>
      <c r="O35" t="s">
        <v>241</v>
      </c>
      <c r="P35" t="s">
        <v>106</v>
      </c>
      <c r="Q35" t="s">
        <v>118</v>
      </c>
      <c r="R35" t="s">
        <v>119</v>
      </c>
      <c r="S35" t="s">
        <v>70</v>
      </c>
      <c r="T35" t="s">
        <v>276</v>
      </c>
      <c r="U35" t="s">
        <v>53</v>
      </c>
      <c r="V35" t="s">
        <v>53</v>
      </c>
      <c r="W35" t="s">
        <v>54</v>
      </c>
      <c r="X35" s="22">
        <v>7897</v>
      </c>
      <c r="Y35" s="21" t="s">
        <v>55</v>
      </c>
    </row>
    <row r="36" spans="1:25" hidden="1" x14ac:dyDescent="0.25">
      <c r="A36" t="s">
        <v>64</v>
      </c>
      <c r="B36" s="20">
        <v>46126</v>
      </c>
      <c r="C36" s="20">
        <v>46128</v>
      </c>
      <c r="D36" t="s">
        <v>329</v>
      </c>
      <c r="E36" t="s">
        <v>319</v>
      </c>
      <c r="F36" s="21" t="s">
        <v>320</v>
      </c>
      <c r="G36">
        <v>6100290977</v>
      </c>
      <c r="H36" t="s">
        <v>321</v>
      </c>
      <c r="I36" t="s">
        <v>322</v>
      </c>
      <c r="J36">
        <v>9220.06</v>
      </c>
      <c r="K36">
        <v>9875.76</v>
      </c>
      <c r="L36">
        <v>15</v>
      </c>
      <c r="M36" t="s">
        <v>323</v>
      </c>
      <c r="N36" t="s">
        <v>138</v>
      </c>
      <c r="O36" t="s">
        <v>324</v>
      </c>
      <c r="P36" t="s">
        <v>325</v>
      </c>
      <c r="Q36" t="s">
        <v>51</v>
      </c>
      <c r="R36" t="s">
        <v>326</v>
      </c>
      <c r="S36" t="s">
        <v>70</v>
      </c>
      <c r="T36" t="s">
        <v>276</v>
      </c>
      <c r="U36" t="s">
        <v>53</v>
      </c>
      <c r="V36" t="s">
        <v>53</v>
      </c>
      <c r="W36" t="s">
        <v>54</v>
      </c>
      <c r="X36" s="22">
        <v>7898</v>
      </c>
      <c r="Y36" s="21" t="s">
        <v>55</v>
      </c>
    </row>
    <row r="37" spans="1:25" hidden="1" x14ac:dyDescent="0.25">
      <c r="A37" t="s">
        <v>65</v>
      </c>
      <c r="B37" s="20">
        <v>46126</v>
      </c>
      <c r="C37" s="20">
        <v>46129</v>
      </c>
      <c r="D37" t="s">
        <v>329</v>
      </c>
      <c r="E37" t="s">
        <v>327</v>
      </c>
      <c r="F37" s="21" t="s">
        <v>328</v>
      </c>
      <c r="G37">
        <v>6100291063</v>
      </c>
      <c r="H37" t="s">
        <v>135</v>
      </c>
      <c r="I37" t="s">
        <v>73</v>
      </c>
      <c r="J37" s="56">
        <v>3238</v>
      </c>
      <c r="K37" s="56">
        <v>3502.5</v>
      </c>
      <c r="L37">
        <v>5</v>
      </c>
      <c r="M37" t="s">
        <v>137</v>
      </c>
      <c r="N37" t="s">
        <v>138</v>
      </c>
      <c r="O37" t="s">
        <v>50</v>
      </c>
      <c r="P37" t="s">
        <v>98</v>
      </c>
      <c r="Q37" t="s">
        <v>51</v>
      </c>
      <c r="R37" t="s">
        <v>140</v>
      </c>
      <c r="S37" t="s">
        <v>70</v>
      </c>
      <c r="T37" t="s">
        <v>276</v>
      </c>
      <c r="U37" t="s">
        <v>53</v>
      </c>
      <c r="V37" t="s">
        <v>53</v>
      </c>
      <c r="W37" t="s">
        <v>54</v>
      </c>
      <c r="X37" s="22">
        <v>7899</v>
      </c>
      <c r="Y37" s="21" t="s">
        <v>55</v>
      </c>
    </row>
    <row r="38" spans="1:25" hidden="1" x14ac:dyDescent="0.25">
      <c r="A38" t="s">
        <v>49</v>
      </c>
      <c r="B38" s="20">
        <v>46126</v>
      </c>
      <c r="C38" s="20">
        <v>46127</v>
      </c>
      <c r="D38" t="s">
        <v>346</v>
      </c>
      <c r="E38" t="s">
        <v>330</v>
      </c>
      <c r="F38" s="21" t="s">
        <v>331</v>
      </c>
      <c r="G38">
        <v>6100290899</v>
      </c>
      <c r="H38" t="s">
        <v>174</v>
      </c>
      <c r="I38" t="s">
        <v>240</v>
      </c>
      <c r="J38" s="56">
        <v>9995.52</v>
      </c>
      <c r="K38" s="56">
        <v>10695</v>
      </c>
      <c r="L38">
        <v>16</v>
      </c>
      <c r="M38" t="s">
        <v>175</v>
      </c>
      <c r="N38" t="s">
        <v>97</v>
      </c>
      <c r="O38" t="s">
        <v>241</v>
      </c>
      <c r="P38" t="s">
        <v>106</v>
      </c>
      <c r="Q38" t="s">
        <v>118</v>
      </c>
      <c r="R38" t="s">
        <v>176</v>
      </c>
      <c r="S38" t="s">
        <v>61</v>
      </c>
      <c r="T38" t="s">
        <v>276</v>
      </c>
      <c r="U38" t="s">
        <v>53</v>
      </c>
      <c r="V38" t="s">
        <v>53</v>
      </c>
      <c r="W38" t="s">
        <v>54</v>
      </c>
      <c r="X38" s="22">
        <v>7900</v>
      </c>
      <c r="Y38" s="21" t="s">
        <v>55</v>
      </c>
    </row>
    <row r="39" spans="1:25" hidden="1" x14ac:dyDescent="0.25">
      <c r="B39" s="20">
        <v>46126</v>
      </c>
      <c r="C39" s="20">
        <v>46127</v>
      </c>
      <c r="D39" t="s">
        <v>346</v>
      </c>
      <c r="E39" t="s">
        <v>332</v>
      </c>
      <c r="F39" s="21" t="s">
        <v>333</v>
      </c>
      <c r="G39">
        <v>6100290899</v>
      </c>
      <c r="H39" t="s">
        <v>174</v>
      </c>
      <c r="I39" t="s">
        <v>122</v>
      </c>
      <c r="J39" s="56">
        <v>6875.1</v>
      </c>
      <c r="K39" s="56">
        <v>7527.5</v>
      </c>
      <c r="L39">
        <v>14</v>
      </c>
      <c r="M39" t="s">
        <v>175</v>
      </c>
      <c r="N39" t="s">
        <v>97</v>
      </c>
      <c r="O39" t="s">
        <v>69</v>
      </c>
      <c r="P39" t="s">
        <v>106</v>
      </c>
      <c r="Q39" t="s">
        <v>118</v>
      </c>
      <c r="R39" t="s">
        <v>176</v>
      </c>
      <c r="S39" t="s">
        <v>61</v>
      </c>
      <c r="T39" t="s">
        <v>276</v>
      </c>
      <c r="U39" t="s">
        <v>53</v>
      </c>
      <c r="V39" t="s">
        <v>53</v>
      </c>
      <c r="W39" t="s">
        <v>54</v>
      </c>
      <c r="X39" s="22">
        <v>7901</v>
      </c>
      <c r="Y39" s="21" t="s">
        <v>55</v>
      </c>
    </row>
    <row r="40" spans="1:25" hidden="1" x14ac:dyDescent="0.25">
      <c r="A40" t="s">
        <v>60</v>
      </c>
      <c r="B40" s="20">
        <v>46126</v>
      </c>
      <c r="C40" s="20">
        <v>46127</v>
      </c>
      <c r="D40" t="s">
        <v>346</v>
      </c>
      <c r="E40" t="s">
        <v>334</v>
      </c>
      <c r="F40" s="21" t="s">
        <v>335</v>
      </c>
      <c r="G40">
        <v>6100291100</v>
      </c>
      <c r="H40" t="s">
        <v>336</v>
      </c>
      <c r="I40" t="s">
        <v>74</v>
      </c>
      <c r="J40" s="56">
        <v>3069</v>
      </c>
      <c r="K40" s="56">
        <v>3187</v>
      </c>
      <c r="L40">
        <v>5</v>
      </c>
      <c r="M40" t="s">
        <v>337</v>
      </c>
      <c r="N40" t="s">
        <v>97</v>
      </c>
      <c r="O40" t="s">
        <v>50</v>
      </c>
      <c r="P40" t="s">
        <v>150</v>
      </c>
      <c r="Q40" t="s">
        <v>51</v>
      </c>
      <c r="R40" t="s">
        <v>58</v>
      </c>
      <c r="S40" t="s">
        <v>61</v>
      </c>
      <c r="T40" t="s">
        <v>276</v>
      </c>
      <c r="U40" t="s">
        <v>53</v>
      </c>
      <c r="V40" t="s">
        <v>53</v>
      </c>
      <c r="W40" t="s">
        <v>54</v>
      </c>
      <c r="X40" s="22">
        <v>7902</v>
      </c>
      <c r="Y40" s="21" t="s">
        <v>55</v>
      </c>
    </row>
    <row r="41" spans="1:25" hidden="1" x14ac:dyDescent="0.25">
      <c r="A41" t="s">
        <v>49</v>
      </c>
      <c r="B41" s="20">
        <v>46127</v>
      </c>
      <c r="C41" s="20">
        <v>46127</v>
      </c>
      <c r="D41" t="s">
        <v>360</v>
      </c>
      <c r="E41" t="s">
        <v>347</v>
      </c>
      <c r="F41" s="21" t="s">
        <v>348</v>
      </c>
      <c r="G41">
        <v>6100291102</v>
      </c>
      <c r="H41" t="s">
        <v>349</v>
      </c>
      <c r="I41" t="s">
        <v>350</v>
      </c>
      <c r="J41" s="56">
        <v>17768</v>
      </c>
      <c r="K41" s="56">
        <v>19252.5</v>
      </c>
      <c r="L41">
        <v>27</v>
      </c>
      <c r="M41" t="s">
        <v>351</v>
      </c>
      <c r="N41" t="s">
        <v>97</v>
      </c>
      <c r="O41" t="s">
        <v>352</v>
      </c>
      <c r="P41" t="s">
        <v>150</v>
      </c>
      <c r="Q41" t="s">
        <v>353</v>
      </c>
      <c r="R41" t="s">
        <v>354</v>
      </c>
      <c r="S41" t="s">
        <v>61</v>
      </c>
      <c r="T41" t="s">
        <v>276</v>
      </c>
      <c r="U41" t="s">
        <v>53</v>
      </c>
      <c r="V41" t="s">
        <v>53</v>
      </c>
      <c r="W41" t="s">
        <v>54</v>
      </c>
      <c r="X41" s="22">
        <v>7915</v>
      </c>
      <c r="Y41" s="21" t="s">
        <v>55</v>
      </c>
    </row>
    <row r="42" spans="1:25" hidden="1" x14ac:dyDescent="0.25">
      <c r="B42" s="20">
        <v>46127</v>
      </c>
      <c r="C42" s="20">
        <v>46127</v>
      </c>
      <c r="D42" t="s">
        <v>360</v>
      </c>
      <c r="E42" t="s">
        <v>355</v>
      </c>
      <c r="F42" s="21" t="s">
        <v>356</v>
      </c>
      <c r="G42">
        <v>6100291102</v>
      </c>
      <c r="H42" t="s">
        <v>349</v>
      </c>
      <c r="I42" t="s">
        <v>357</v>
      </c>
      <c r="J42" s="56">
        <v>2621</v>
      </c>
      <c r="K42" s="56">
        <v>2771.5</v>
      </c>
      <c r="L42">
        <v>5</v>
      </c>
      <c r="M42" t="s">
        <v>351</v>
      </c>
      <c r="N42" t="s">
        <v>97</v>
      </c>
      <c r="O42" t="s">
        <v>358</v>
      </c>
      <c r="P42" t="s">
        <v>150</v>
      </c>
      <c r="Q42" t="s">
        <v>359</v>
      </c>
      <c r="R42" t="s">
        <v>354</v>
      </c>
      <c r="S42" t="s">
        <v>61</v>
      </c>
      <c r="T42" t="s">
        <v>276</v>
      </c>
      <c r="U42" t="s">
        <v>53</v>
      </c>
      <c r="V42" t="s">
        <v>53</v>
      </c>
      <c r="W42" t="s">
        <v>54</v>
      </c>
      <c r="X42" s="22">
        <v>7916</v>
      </c>
      <c r="Y42" s="21" t="s">
        <v>55</v>
      </c>
    </row>
    <row r="43" spans="1:25" hidden="1" x14ac:dyDescent="0.25">
      <c r="A43" t="s">
        <v>49</v>
      </c>
      <c r="B43" s="20">
        <v>46127</v>
      </c>
      <c r="C43" s="20">
        <v>46128</v>
      </c>
      <c r="D43" t="s">
        <v>379</v>
      </c>
      <c r="E43" t="s">
        <v>367</v>
      </c>
      <c r="F43" s="21" t="s">
        <v>368</v>
      </c>
      <c r="G43">
        <v>6100291091</v>
      </c>
      <c r="H43" t="s">
        <v>369</v>
      </c>
      <c r="I43" t="s">
        <v>370</v>
      </c>
      <c r="J43">
        <v>10014.48</v>
      </c>
      <c r="K43">
        <v>11920.5</v>
      </c>
      <c r="L43">
        <v>21</v>
      </c>
      <c r="M43" t="s">
        <v>371</v>
      </c>
      <c r="N43" t="s">
        <v>193</v>
      </c>
      <c r="O43" t="s">
        <v>50</v>
      </c>
      <c r="P43" t="s">
        <v>325</v>
      </c>
      <c r="Q43" t="s">
        <v>51</v>
      </c>
      <c r="R43" t="s">
        <v>372</v>
      </c>
      <c r="S43" t="s">
        <v>61</v>
      </c>
      <c r="T43" t="s">
        <v>276</v>
      </c>
      <c r="U43" t="s">
        <v>53</v>
      </c>
      <c r="V43" t="s">
        <v>53</v>
      </c>
      <c r="W43" t="s">
        <v>54</v>
      </c>
      <c r="X43" s="22">
        <v>7909</v>
      </c>
      <c r="Y43" s="21" t="s">
        <v>55</v>
      </c>
    </row>
    <row r="44" spans="1:25" hidden="1" x14ac:dyDescent="0.25">
      <c r="A44" t="s">
        <v>60</v>
      </c>
      <c r="B44" s="20">
        <v>46127</v>
      </c>
      <c r="C44" s="20">
        <v>46128</v>
      </c>
      <c r="D44" t="s">
        <v>379</v>
      </c>
      <c r="E44" t="s">
        <v>361</v>
      </c>
      <c r="F44" s="21" t="s">
        <v>362</v>
      </c>
      <c r="G44">
        <v>6100291037</v>
      </c>
      <c r="H44" t="s">
        <v>363</v>
      </c>
      <c r="I44" t="s">
        <v>74</v>
      </c>
      <c r="J44" s="56">
        <v>3728</v>
      </c>
      <c r="K44" s="56">
        <v>3872.5</v>
      </c>
      <c r="L44">
        <v>6</v>
      </c>
      <c r="M44" t="s">
        <v>364</v>
      </c>
      <c r="N44" t="s">
        <v>193</v>
      </c>
      <c r="O44" t="s">
        <v>50</v>
      </c>
      <c r="P44" t="s">
        <v>150</v>
      </c>
      <c r="Q44" t="s">
        <v>365</v>
      </c>
      <c r="R44" t="s">
        <v>366</v>
      </c>
      <c r="S44" t="s">
        <v>61</v>
      </c>
      <c r="T44" t="s">
        <v>276</v>
      </c>
      <c r="U44" t="s">
        <v>53</v>
      </c>
      <c r="V44" t="s">
        <v>53</v>
      </c>
      <c r="W44" t="s">
        <v>54</v>
      </c>
      <c r="X44" s="22">
        <v>7910</v>
      </c>
      <c r="Y44" s="21" t="s">
        <v>55</v>
      </c>
    </row>
    <row r="45" spans="1:25" hidden="1" x14ac:dyDescent="0.25">
      <c r="A45" t="s">
        <v>64</v>
      </c>
      <c r="B45" s="20">
        <v>46127</v>
      </c>
      <c r="C45" s="20">
        <v>46129</v>
      </c>
      <c r="D45" t="s">
        <v>379</v>
      </c>
      <c r="E45" t="s">
        <v>373</v>
      </c>
      <c r="F45" s="21" t="s">
        <v>374</v>
      </c>
      <c r="G45">
        <v>6100291038</v>
      </c>
      <c r="H45" t="s">
        <v>375</v>
      </c>
      <c r="I45" t="s">
        <v>68</v>
      </c>
      <c r="J45" s="56">
        <v>3954</v>
      </c>
      <c r="K45" s="56">
        <v>4278</v>
      </c>
      <c r="L45">
        <v>6</v>
      </c>
      <c r="M45" t="s">
        <v>376</v>
      </c>
      <c r="N45" t="s">
        <v>148</v>
      </c>
      <c r="O45" t="s">
        <v>50</v>
      </c>
      <c r="P45" t="s">
        <v>150</v>
      </c>
      <c r="Q45" t="s">
        <v>377</v>
      </c>
      <c r="R45" t="s">
        <v>378</v>
      </c>
      <c r="S45" t="s">
        <v>61</v>
      </c>
      <c r="T45" t="s">
        <v>276</v>
      </c>
      <c r="U45" t="s">
        <v>53</v>
      </c>
      <c r="V45" t="s">
        <v>53</v>
      </c>
      <c r="W45" t="s">
        <v>54</v>
      </c>
      <c r="X45" s="22">
        <v>7913</v>
      </c>
      <c r="Y45" s="21" t="s">
        <v>55</v>
      </c>
    </row>
    <row r="46" spans="1:25" hidden="1" x14ac:dyDescent="0.25">
      <c r="A46" t="s">
        <v>49</v>
      </c>
      <c r="B46" s="20">
        <v>46127</v>
      </c>
      <c r="C46" s="20">
        <v>46129</v>
      </c>
      <c r="D46" t="s">
        <v>380</v>
      </c>
      <c r="E46" t="s">
        <v>342</v>
      </c>
      <c r="F46" s="21" t="s">
        <v>343</v>
      </c>
      <c r="G46">
        <v>6100291143</v>
      </c>
      <c r="H46" t="s">
        <v>222</v>
      </c>
      <c r="I46" t="s">
        <v>344</v>
      </c>
      <c r="J46" s="56">
        <v>6464.48</v>
      </c>
      <c r="K46" s="56">
        <v>6915</v>
      </c>
      <c r="L46">
        <v>13</v>
      </c>
      <c r="M46" t="s">
        <v>216</v>
      </c>
      <c r="N46" t="s">
        <v>148</v>
      </c>
      <c r="O46" t="s">
        <v>345</v>
      </c>
      <c r="P46" t="s">
        <v>106</v>
      </c>
      <c r="Q46" t="s">
        <v>118</v>
      </c>
      <c r="R46" t="s">
        <v>223</v>
      </c>
      <c r="S46" t="s">
        <v>61</v>
      </c>
      <c r="T46" t="s">
        <v>276</v>
      </c>
      <c r="U46" t="s">
        <v>53</v>
      </c>
      <c r="V46" t="s">
        <v>53</v>
      </c>
      <c r="W46" t="s">
        <v>54</v>
      </c>
      <c r="X46" s="22">
        <v>7908</v>
      </c>
      <c r="Y46" s="21" t="s">
        <v>55</v>
      </c>
    </row>
    <row r="47" spans="1:25" hidden="1" x14ac:dyDescent="0.25">
      <c r="B47" s="20">
        <v>46127</v>
      </c>
      <c r="C47" s="20">
        <v>46129</v>
      </c>
      <c r="D47" t="s">
        <v>380</v>
      </c>
      <c r="E47" t="s">
        <v>338</v>
      </c>
      <c r="F47" s="21" t="s">
        <v>339</v>
      </c>
      <c r="G47">
        <v>6100291143</v>
      </c>
      <c r="H47" t="s">
        <v>222</v>
      </c>
      <c r="I47" t="s">
        <v>116</v>
      </c>
      <c r="J47" s="56">
        <v>5275.44</v>
      </c>
      <c r="K47" s="56">
        <v>5651</v>
      </c>
      <c r="L47">
        <v>11</v>
      </c>
      <c r="M47" t="s">
        <v>216</v>
      </c>
      <c r="N47" t="s">
        <v>148</v>
      </c>
      <c r="O47" t="s">
        <v>117</v>
      </c>
      <c r="P47" t="s">
        <v>106</v>
      </c>
      <c r="Q47" t="s">
        <v>118</v>
      </c>
      <c r="R47" t="s">
        <v>223</v>
      </c>
      <c r="S47" t="s">
        <v>61</v>
      </c>
      <c r="T47" t="s">
        <v>276</v>
      </c>
      <c r="U47" t="s">
        <v>53</v>
      </c>
      <c r="V47" t="s">
        <v>53</v>
      </c>
      <c r="W47" t="s">
        <v>54</v>
      </c>
      <c r="X47" s="22">
        <v>7911</v>
      </c>
      <c r="Y47" s="21" t="s">
        <v>55</v>
      </c>
    </row>
    <row r="48" spans="1:25" hidden="1" x14ac:dyDescent="0.25">
      <c r="B48" s="20">
        <v>46127</v>
      </c>
      <c r="C48" s="20">
        <v>46129</v>
      </c>
      <c r="D48" t="s">
        <v>380</v>
      </c>
      <c r="E48" t="s">
        <v>340</v>
      </c>
      <c r="F48" s="21" t="s">
        <v>341</v>
      </c>
      <c r="G48">
        <v>6100291143</v>
      </c>
      <c r="H48" t="s">
        <v>222</v>
      </c>
      <c r="I48" t="s">
        <v>240</v>
      </c>
      <c r="J48" s="56">
        <v>9779.32</v>
      </c>
      <c r="K48" s="56">
        <v>10437</v>
      </c>
      <c r="L48">
        <v>16</v>
      </c>
      <c r="M48" t="s">
        <v>216</v>
      </c>
      <c r="N48" t="s">
        <v>148</v>
      </c>
      <c r="O48" t="s">
        <v>241</v>
      </c>
      <c r="P48" t="s">
        <v>106</v>
      </c>
      <c r="Q48" t="s">
        <v>118</v>
      </c>
      <c r="R48" t="s">
        <v>223</v>
      </c>
      <c r="S48" t="s">
        <v>61</v>
      </c>
      <c r="T48" t="s">
        <v>276</v>
      </c>
      <c r="U48" t="s">
        <v>53</v>
      </c>
      <c r="V48" t="s">
        <v>53</v>
      </c>
      <c r="W48" t="s">
        <v>54</v>
      </c>
      <c r="X48" s="22">
        <v>7912</v>
      </c>
      <c r="Y48" s="21" t="s">
        <v>55</v>
      </c>
    </row>
    <row r="49" spans="1:25" hidden="1" x14ac:dyDescent="0.25">
      <c r="A49" t="s">
        <v>49</v>
      </c>
      <c r="B49" s="20">
        <v>46128</v>
      </c>
      <c r="C49" s="20">
        <v>46132</v>
      </c>
      <c r="D49" t="s">
        <v>400</v>
      </c>
      <c r="E49" t="s">
        <v>381</v>
      </c>
      <c r="F49" s="21" t="s">
        <v>382</v>
      </c>
      <c r="G49">
        <v>6100291540</v>
      </c>
      <c r="H49" t="s">
        <v>383</v>
      </c>
      <c r="I49" t="s">
        <v>74</v>
      </c>
      <c r="J49" s="56">
        <v>2393</v>
      </c>
      <c r="K49" s="56">
        <v>2478</v>
      </c>
      <c r="L49">
        <v>4</v>
      </c>
      <c r="M49" t="s">
        <v>294</v>
      </c>
      <c r="N49" t="s">
        <v>295</v>
      </c>
      <c r="O49" t="s">
        <v>50</v>
      </c>
      <c r="P49" t="s">
        <v>150</v>
      </c>
      <c r="Q49" t="s">
        <v>51</v>
      </c>
      <c r="R49" t="s">
        <v>384</v>
      </c>
      <c r="S49" t="s">
        <v>87</v>
      </c>
      <c r="U49" t="s">
        <v>53</v>
      </c>
      <c r="V49" t="s">
        <v>53</v>
      </c>
      <c r="W49" t="s">
        <v>54</v>
      </c>
      <c r="X49" s="22">
        <v>7925</v>
      </c>
      <c r="Y49" s="21" t="s">
        <v>55</v>
      </c>
    </row>
    <row r="50" spans="1:25" hidden="1" x14ac:dyDescent="0.25">
      <c r="A50" t="s">
        <v>60</v>
      </c>
      <c r="B50" s="20">
        <v>46128</v>
      </c>
      <c r="C50" s="20">
        <v>46133</v>
      </c>
      <c r="D50" t="s">
        <v>400</v>
      </c>
      <c r="E50" t="s">
        <v>385</v>
      </c>
      <c r="F50" s="21" t="s">
        <v>386</v>
      </c>
      <c r="G50">
        <v>6100291657</v>
      </c>
      <c r="H50" t="s">
        <v>307</v>
      </c>
      <c r="I50" t="s">
        <v>387</v>
      </c>
      <c r="J50" s="56">
        <v>2479.6999999999998</v>
      </c>
      <c r="K50" s="56">
        <v>2624.2</v>
      </c>
      <c r="L50">
        <v>5</v>
      </c>
      <c r="M50" t="s">
        <v>309</v>
      </c>
      <c r="N50" t="s">
        <v>302</v>
      </c>
      <c r="O50" t="s">
        <v>388</v>
      </c>
      <c r="P50" t="s">
        <v>106</v>
      </c>
      <c r="Q50" t="s">
        <v>389</v>
      </c>
      <c r="R50" t="s">
        <v>390</v>
      </c>
      <c r="S50" t="s">
        <v>87</v>
      </c>
      <c r="U50" t="s">
        <v>53</v>
      </c>
      <c r="V50" t="s">
        <v>53</v>
      </c>
      <c r="W50" t="s">
        <v>54</v>
      </c>
      <c r="X50" s="22">
        <v>7927</v>
      </c>
      <c r="Y50" s="21" t="s">
        <v>55</v>
      </c>
    </row>
    <row r="51" spans="1:25" hidden="1" x14ac:dyDescent="0.25">
      <c r="A51" t="s">
        <v>64</v>
      </c>
      <c r="B51" s="20">
        <v>46128</v>
      </c>
      <c r="C51" s="20">
        <v>46133</v>
      </c>
      <c r="D51" t="s">
        <v>400</v>
      </c>
      <c r="E51" t="s">
        <v>391</v>
      </c>
      <c r="F51" s="21" t="s">
        <v>392</v>
      </c>
      <c r="G51">
        <v>6100291658</v>
      </c>
      <c r="H51" t="s">
        <v>393</v>
      </c>
      <c r="I51" t="s">
        <v>162</v>
      </c>
      <c r="J51" s="56">
        <v>4489.62</v>
      </c>
      <c r="K51" s="56">
        <v>4755.5</v>
      </c>
      <c r="L51">
        <v>9</v>
      </c>
      <c r="M51" t="s">
        <v>309</v>
      </c>
      <c r="N51" t="s">
        <v>302</v>
      </c>
      <c r="O51" t="s">
        <v>164</v>
      </c>
      <c r="P51" t="s">
        <v>150</v>
      </c>
      <c r="Q51" t="s">
        <v>51</v>
      </c>
      <c r="R51" t="s">
        <v>394</v>
      </c>
      <c r="S51" t="s">
        <v>87</v>
      </c>
      <c r="U51" t="s">
        <v>53</v>
      </c>
      <c r="V51" t="s">
        <v>53</v>
      </c>
      <c r="W51" t="s">
        <v>54</v>
      </c>
      <c r="X51" s="22">
        <v>7929</v>
      </c>
      <c r="Y51" s="21" t="s">
        <v>55</v>
      </c>
    </row>
    <row r="52" spans="1:25" hidden="1" x14ac:dyDescent="0.25">
      <c r="B52" s="20">
        <v>46128</v>
      </c>
      <c r="C52" s="20">
        <v>46133</v>
      </c>
      <c r="D52" t="s">
        <v>400</v>
      </c>
      <c r="E52" t="s">
        <v>395</v>
      </c>
      <c r="F52" s="21" t="s">
        <v>396</v>
      </c>
      <c r="G52">
        <v>6100291658</v>
      </c>
      <c r="H52" t="s">
        <v>393</v>
      </c>
      <c r="I52" t="s">
        <v>397</v>
      </c>
      <c r="J52" s="56">
        <v>3749.68</v>
      </c>
      <c r="K52" s="56">
        <v>4025</v>
      </c>
      <c r="L52">
        <v>7</v>
      </c>
      <c r="M52" t="s">
        <v>309</v>
      </c>
      <c r="N52" t="s">
        <v>302</v>
      </c>
      <c r="O52" t="s">
        <v>169</v>
      </c>
      <c r="P52" t="s">
        <v>150</v>
      </c>
      <c r="Q52" t="s">
        <v>51</v>
      </c>
      <c r="R52" t="s">
        <v>394</v>
      </c>
      <c r="S52" t="s">
        <v>87</v>
      </c>
      <c r="U52" t="s">
        <v>53</v>
      </c>
      <c r="V52" t="s">
        <v>53</v>
      </c>
      <c r="W52" t="s">
        <v>54</v>
      </c>
      <c r="X52" s="22">
        <v>7930</v>
      </c>
      <c r="Y52" s="21" t="s">
        <v>55</v>
      </c>
    </row>
    <row r="53" spans="1:25" hidden="1" x14ac:dyDescent="0.25">
      <c r="B53" s="20">
        <v>46128</v>
      </c>
      <c r="C53" s="20">
        <v>46133</v>
      </c>
      <c r="D53" t="s">
        <v>400</v>
      </c>
      <c r="E53" t="s">
        <v>398</v>
      </c>
      <c r="F53" s="21" t="s">
        <v>399</v>
      </c>
      <c r="G53">
        <v>6100291658</v>
      </c>
      <c r="H53" t="s">
        <v>393</v>
      </c>
      <c r="I53" t="s">
        <v>168</v>
      </c>
      <c r="J53">
        <v>1192.3</v>
      </c>
      <c r="K53">
        <v>1251.76</v>
      </c>
      <c r="L53">
        <v>2</v>
      </c>
      <c r="M53" t="s">
        <v>309</v>
      </c>
      <c r="N53" t="s">
        <v>302</v>
      </c>
      <c r="O53" t="s">
        <v>169</v>
      </c>
      <c r="P53" t="s">
        <v>150</v>
      </c>
      <c r="Q53" t="s">
        <v>51</v>
      </c>
      <c r="R53" t="s">
        <v>394</v>
      </c>
      <c r="S53" t="s">
        <v>87</v>
      </c>
      <c r="U53" t="s">
        <v>53</v>
      </c>
      <c r="V53" t="s">
        <v>53</v>
      </c>
      <c r="W53" t="s">
        <v>54</v>
      </c>
      <c r="X53" s="22">
        <v>7931</v>
      </c>
      <c r="Y53" s="21" t="s">
        <v>55</v>
      </c>
    </row>
    <row r="54" spans="1:25" hidden="1" x14ac:dyDescent="0.25">
      <c r="A54" t="s">
        <v>49</v>
      </c>
      <c r="B54" s="20">
        <v>46128</v>
      </c>
      <c r="C54" s="20">
        <v>46132</v>
      </c>
      <c r="D54" t="s">
        <v>425</v>
      </c>
      <c r="E54" t="s">
        <v>413</v>
      </c>
      <c r="F54" s="21" t="s">
        <v>414</v>
      </c>
      <c r="G54">
        <v>6100291659</v>
      </c>
      <c r="H54" t="s">
        <v>415</v>
      </c>
      <c r="I54" t="s">
        <v>300</v>
      </c>
      <c r="J54" s="56">
        <v>4536.5039999999999</v>
      </c>
      <c r="K54" s="56">
        <v>4788.5</v>
      </c>
      <c r="L54">
        <v>7</v>
      </c>
      <c r="M54" t="s">
        <v>416</v>
      </c>
      <c r="N54" t="s">
        <v>148</v>
      </c>
      <c r="O54" t="s">
        <v>303</v>
      </c>
      <c r="P54" t="s">
        <v>150</v>
      </c>
      <c r="Q54" t="s">
        <v>417</v>
      </c>
      <c r="R54" t="s">
        <v>418</v>
      </c>
      <c r="S54" t="s">
        <v>63</v>
      </c>
      <c r="U54" t="s">
        <v>53</v>
      </c>
      <c r="V54" t="s">
        <v>53</v>
      </c>
      <c r="W54" t="s">
        <v>54</v>
      </c>
      <c r="X54" s="22">
        <v>7926</v>
      </c>
      <c r="Y54" s="21" t="s">
        <v>55</v>
      </c>
    </row>
    <row r="55" spans="1:25" hidden="1" x14ac:dyDescent="0.25">
      <c r="A55" t="s">
        <v>60</v>
      </c>
      <c r="B55" s="20">
        <v>46128</v>
      </c>
      <c r="C55" s="20">
        <v>46132</v>
      </c>
      <c r="D55" t="s">
        <v>425</v>
      </c>
      <c r="E55" t="s">
        <v>401</v>
      </c>
      <c r="F55" s="21" t="s">
        <v>402</v>
      </c>
      <c r="G55">
        <v>6100291660</v>
      </c>
      <c r="H55" t="s">
        <v>403</v>
      </c>
      <c r="I55" t="s">
        <v>74</v>
      </c>
      <c r="J55" s="56">
        <v>1807</v>
      </c>
      <c r="K55" s="56">
        <v>1871</v>
      </c>
      <c r="L55">
        <v>3</v>
      </c>
      <c r="M55" t="s">
        <v>404</v>
      </c>
      <c r="N55" t="s">
        <v>148</v>
      </c>
      <c r="O55" t="s">
        <v>50</v>
      </c>
      <c r="P55" t="s">
        <v>150</v>
      </c>
      <c r="Q55" t="s">
        <v>405</v>
      </c>
      <c r="R55" t="s">
        <v>406</v>
      </c>
      <c r="S55" t="s">
        <v>63</v>
      </c>
      <c r="U55" t="s">
        <v>53</v>
      </c>
      <c r="V55" t="s">
        <v>53</v>
      </c>
      <c r="W55" t="s">
        <v>54</v>
      </c>
      <c r="X55" s="22">
        <v>7932</v>
      </c>
      <c r="Y55" s="21" t="s">
        <v>55</v>
      </c>
    </row>
    <row r="56" spans="1:25" hidden="1" x14ac:dyDescent="0.25">
      <c r="A56" t="s">
        <v>64</v>
      </c>
      <c r="B56" s="20">
        <v>46128</v>
      </c>
      <c r="C56" s="20">
        <v>46133</v>
      </c>
      <c r="D56" t="s">
        <v>425</v>
      </c>
      <c r="E56" t="s">
        <v>407</v>
      </c>
      <c r="F56" s="21" t="s">
        <v>408</v>
      </c>
      <c r="G56">
        <v>6100291607</v>
      </c>
      <c r="H56" t="s">
        <v>409</v>
      </c>
      <c r="I56" t="s">
        <v>73</v>
      </c>
      <c r="J56" s="56">
        <v>1294.5</v>
      </c>
      <c r="K56" s="56">
        <v>1403</v>
      </c>
      <c r="L56">
        <v>2</v>
      </c>
      <c r="M56" t="s">
        <v>410</v>
      </c>
      <c r="N56" t="s">
        <v>148</v>
      </c>
      <c r="O56" t="s">
        <v>50</v>
      </c>
      <c r="P56" t="s">
        <v>150</v>
      </c>
      <c r="Q56" t="s">
        <v>411</v>
      </c>
      <c r="R56" t="s">
        <v>412</v>
      </c>
      <c r="S56" t="s">
        <v>63</v>
      </c>
      <c r="U56" t="s">
        <v>53</v>
      </c>
      <c r="V56" t="s">
        <v>53</v>
      </c>
      <c r="W56" t="s">
        <v>54</v>
      </c>
      <c r="X56" s="22">
        <v>7933</v>
      </c>
      <c r="Y56" s="21" t="s">
        <v>55</v>
      </c>
    </row>
    <row r="57" spans="1:25" hidden="1" x14ac:dyDescent="0.25">
      <c r="A57" t="s">
        <v>65</v>
      </c>
      <c r="B57" s="20">
        <v>46128</v>
      </c>
      <c r="C57" s="20">
        <v>46133</v>
      </c>
      <c r="D57" t="s">
        <v>425</v>
      </c>
      <c r="E57" t="s">
        <v>419</v>
      </c>
      <c r="F57" s="21" t="s">
        <v>420</v>
      </c>
      <c r="G57">
        <v>6100291568</v>
      </c>
      <c r="H57" t="s">
        <v>421</v>
      </c>
      <c r="I57" t="s">
        <v>397</v>
      </c>
      <c r="J57" s="56">
        <v>3738.38</v>
      </c>
      <c r="K57" s="56">
        <v>4001</v>
      </c>
      <c r="L57">
        <v>7</v>
      </c>
      <c r="M57" t="s">
        <v>422</v>
      </c>
      <c r="N57" t="s">
        <v>148</v>
      </c>
      <c r="O57" t="s">
        <v>169</v>
      </c>
      <c r="P57" t="s">
        <v>150</v>
      </c>
      <c r="Q57" t="s">
        <v>423</v>
      </c>
      <c r="R57" t="s">
        <v>424</v>
      </c>
      <c r="S57" t="s">
        <v>63</v>
      </c>
      <c r="U57" t="s">
        <v>53</v>
      </c>
      <c r="V57" t="s">
        <v>53</v>
      </c>
      <c r="W57" t="s">
        <v>54</v>
      </c>
      <c r="X57" s="22">
        <v>7928</v>
      </c>
      <c r="Y57" s="21" t="s">
        <v>55</v>
      </c>
    </row>
    <row r="58" spans="1:25" hidden="1" x14ac:dyDescent="0.25">
      <c r="B58" s="20">
        <v>46126</v>
      </c>
      <c r="C58" s="20">
        <v>46126</v>
      </c>
      <c r="D58" t="s">
        <v>432</v>
      </c>
      <c r="E58" t="s">
        <v>426</v>
      </c>
      <c r="F58" s="21" t="s">
        <v>427</v>
      </c>
      <c r="G58" t="s">
        <v>58</v>
      </c>
      <c r="H58" t="s">
        <v>428</v>
      </c>
      <c r="I58" t="s">
        <v>429</v>
      </c>
      <c r="J58">
        <v>606.5</v>
      </c>
      <c r="K58">
        <v>606.5</v>
      </c>
      <c r="L58">
        <v>1</v>
      </c>
      <c r="M58" t="s">
        <v>351</v>
      </c>
      <c r="N58" t="s">
        <v>97</v>
      </c>
      <c r="Q58" t="s">
        <v>430</v>
      </c>
      <c r="R58" t="s">
        <v>431</v>
      </c>
      <c r="U58" t="s">
        <v>53</v>
      </c>
      <c r="V58" t="s">
        <v>53</v>
      </c>
      <c r="W58" t="s">
        <v>54</v>
      </c>
      <c r="Y58" s="21" t="s">
        <v>55</v>
      </c>
    </row>
    <row r="59" spans="1:25" hidden="1" x14ac:dyDescent="0.25">
      <c r="A59" t="s">
        <v>49</v>
      </c>
      <c r="B59" s="20">
        <v>46129</v>
      </c>
      <c r="C59" s="20">
        <v>46132</v>
      </c>
      <c r="D59" t="s">
        <v>460</v>
      </c>
      <c r="E59" t="s">
        <v>433</v>
      </c>
      <c r="F59" s="21" t="s">
        <v>434</v>
      </c>
      <c r="G59">
        <v>6100291925</v>
      </c>
      <c r="H59" t="s">
        <v>435</v>
      </c>
      <c r="I59" t="s">
        <v>74</v>
      </c>
      <c r="J59" s="56">
        <v>2955</v>
      </c>
      <c r="K59" s="56">
        <v>3082</v>
      </c>
      <c r="L59">
        <v>5</v>
      </c>
      <c r="M59" t="s">
        <v>436</v>
      </c>
      <c r="N59" t="s">
        <v>97</v>
      </c>
      <c r="O59" t="s">
        <v>50</v>
      </c>
      <c r="P59" t="s">
        <v>150</v>
      </c>
      <c r="Q59" t="s">
        <v>437</v>
      </c>
      <c r="R59" t="s">
        <v>438</v>
      </c>
      <c r="S59" t="s">
        <v>63</v>
      </c>
      <c r="U59" t="s">
        <v>53</v>
      </c>
      <c r="V59" t="s">
        <v>53</v>
      </c>
      <c r="W59" t="s">
        <v>54</v>
      </c>
      <c r="Y59" s="21" t="s">
        <v>55</v>
      </c>
    </row>
    <row r="60" spans="1:25" hidden="1" x14ac:dyDescent="0.25">
      <c r="A60" t="s">
        <v>60</v>
      </c>
      <c r="B60" s="20">
        <v>46129</v>
      </c>
      <c r="C60" s="20">
        <v>46132</v>
      </c>
      <c r="D60" t="s">
        <v>460</v>
      </c>
      <c r="E60" t="s">
        <v>439</v>
      </c>
      <c r="F60" s="21" t="s">
        <v>440</v>
      </c>
      <c r="G60">
        <v>6100291926</v>
      </c>
      <c r="H60" t="s">
        <v>441</v>
      </c>
      <c r="I60" t="s">
        <v>442</v>
      </c>
      <c r="J60" s="56">
        <v>3208.5</v>
      </c>
      <c r="K60" s="56">
        <v>3491</v>
      </c>
      <c r="L60">
        <v>7</v>
      </c>
      <c r="M60" t="s">
        <v>443</v>
      </c>
      <c r="N60" t="s">
        <v>97</v>
      </c>
      <c r="O60" t="s">
        <v>303</v>
      </c>
      <c r="P60" t="s">
        <v>325</v>
      </c>
      <c r="Q60" t="s">
        <v>51</v>
      </c>
      <c r="R60" t="s">
        <v>444</v>
      </c>
      <c r="S60" t="s">
        <v>63</v>
      </c>
      <c r="U60" t="s">
        <v>53</v>
      </c>
      <c r="V60" t="s">
        <v>53</v>
      </c>
      <c r="W60" t="s">
        <v>54</v>
      </c>
      <c r="Y60" s="21" t="s">
        <v>55</v>
      </c>
    </row>
    <row r="61" spans="1:25" hidden="1" x14ac:dyDescent="0.25">
      <c r="A61" t="s">
        <v>64</v>
      </c>
      <c r="B61" s="20">
        <v>46129</v>
      </c>
      <c r="C61" s="20">
        <v>46135</v>
      </c>
      <c r="D61" t="s">
        <v>460</v>
      </c>
      <c r="E61" t="s">
        <v>445</v>
      </c>
      <c r="F61" s="21" t="s">
        <v>446</v>
      </c>
      <c r="G61">
        <v>6100291839</v>
      </c>
      <c r="H61" t="s">
        <v>447</v>
      </c>
      <c r="I61" t="s">
        <v>448</v>
      </c>
      <c r="J61">
        <v>1572.6</v>
      </c>
      <c r="K61">
        <v>1727</v>
      </c>
      <c r="L61">
        <v>2</v>
      </c>
      <c r="M61" t="s">
        <v>449</v>
      </c>
      <c r="N61" t="s">
        <v>193</v>
      </c>
      <c r="O61" t="s">
        <v>450</v>
      </c>
      <c r="P61" t="s">
        <v>150</v>
      </c>
      <c r="Q61" t="s">
        <v>451</v>
      </c>
      <c r="R61" t="s">
        <v>58</v>
      </c>
      <c r="S61" t="s">
        <v>63</v>
      </c>
      <c r="U61" t="s">
        <v>53</v>
      </c>
      <c r="V61" t="s">
        <v>53</v>
      </c>
      <c r="W61" t="s">
        <v>54</v>
      </c>
      <c r="Y61" s="21" t="s">
        <v>55</v>
      </c>
    </row>
    <row r="62" spans="1:25" hidden="1" x14ac:dyDescent="0.25">
      <c r="A62" t="s">
        <v>65</v>
      </c>
      <c r="B62" s="20">
        <v>46129</v>
      </c>
      <c r="C62" s="20">
        <v>46135</v>
      </c>
      <c r="D62" t="s">
        <v>460</v>
      </c>
      <c r="E62" t="s">
        <v>452</v>
      </c>
      <c r="F62" s="21" t="s">
        <v>453</v>
      </c>
      <c r="G62">
        <v>6100291889</v>
      </c>
      <c r="H62" t="s">
        <v>454</v>
      </c>
      <c r="I62" t="s">
        <v>73</v>
      </c>
      <c r="J62">
        <v>653.5</v>
      </c>
      <c r="K62">
        <v>707.5</v>
      </c>
      <c r="L62">
        <v>1</v>
      </c>
      <c r="M62" t="s">
        <v>455</v>
      </c>
      <c r="N62" t="s">
        <v>148</v>
      </c>
      <c r="O62" t="s">
        <v>50</v>
      </c>
      <c r="P62" t="s">
        <v>150</v>
      </c>
      <c r="Q62" t="s">
        <v>51</v>
      </c>
      <c r="R62" t="s">
        <v>456</v>
      </c>
      <c r="S62" t="s">
        <v>63</v>
      </c>
      <c r="U62" t="s">
        <v>53</v>
      </c>
      <c r="V62" t="s">
        <v>53</v>
      </c>
      <c r="W62" t="s">
        <v>54</v>
      </c>
      <c r="Y62" s="21" t="s">
        <v>55</v>
      </c>
    </row>
    <row r="63" spans="1:25" hidden="1" x14ac:dyDescent="0.25">
      <c r="A63" t="s">
        <v>71</v>
      </c>
      <c r="B63" s="20">
        <v>46129</v>
      </c>
      <c r="C63" s="20">
        <v>46136</v>
      </c>
      <c r="D63" t="s">
        <v>460</v>
      </c>
      <c r="E63" t="s">
        <v>457</v>
      </c>
      <c r="F63" s="21" t="s">
        <v>458</v>
      </c>
      <c r="G63">
        <v>6100291927</v>
      </c>
      <c r="H63" t="s">
        <v>409</v>
      </c>
      <c r="I63" t="s">
        <v>73</v>
      </c>
      <c r="J63">
        <v>636</v>
      </c>
      <c r="K63">
        <v>688</v>
      </c>
      <c r="L63">
        <v>1</v>
      </c>
      <c r="M63" t="s">
        <v>410</v>
      </c>
      <c r="N63" t="s">
        <v>148</v>
      </c>
      <c r="O63" t="s">
        <v>50</v>
      </c>
      <c r="P63" t="s">
        <v>150</v>
      </c>
      <c r="Q63" t="s">
        <v>459</v>
      </c>
      <c r="R63" t="s">
        <v>412</v>
      </c>
      <c r="S63" t="s">
        <v>63</v>
      </c>
      <c r="U63" t="s">
        <v>53</v>
      </c>
      <c r="V63" t="s">
        <v>53</v>
      </c>
      <c r="W63" t="s">
        <v>54</v>
      </c>
      <c r="Y63" s="21" t="s">
        <v>55</v>
      </c>
    </row>
    <row r="64" spans="1:25" hidden="1" x14ac:dyDescent="0.25">
      <c r="A64" t="s">
        <v>49</v>
      </c>
      <c r="B64" s="20">
        <v>46135</v>
      </c>
      <c r="C64" s="20">
        <v>46127</v>
      </c>
      <c r="D64" t="s">
        <v>474</v>
      </c>
      <c r="E64" t="s">
        <v>461</v>
      </c>
      <c r="F64" s="21">
        <v>80687920</v>
      </c>
      <c r="G64">
        <v>6100293477</v>
      </c>
      <c r="H64" t="s">
        <v>462</v>
      </c>
      <c r="I64" t="s">
        <v>67</v>
      </c>
      <c r="J64" s="56">
        <v>2655.8</v>
      </c>
      <c r="K64" s="56">
        <v>2862</v>
      </c>
      <c r="L64">
        <v>4</v>
      </c>
      <c r="M64" t="s">
        <v>248</v>
      </c>
      <c r="N64" t="s">
        <v>97</v>
      </c>
      <c r="O64" t="s">
        <v>56</v>
      </c>
      <c r="P64" t="s">
        <v>98</v>
      </c>
      <c r="Q64" t="s">
        <v>463</v>
      </c>
      <c r="R64" t="s">
        <v>464</v>
      </c>
      <c r="S64" t="s">
        <v>70</v>
      </c>
      <c r="U64" t="s">
        <v>53</v>
      </c>
      <c r="V64" t="s">
        <v>53</v>
      </c>
      <c r="W64" t="s">
        <v>54</v>
      </c>
      <c r="X64" s="22">
        <v>7978</v>
      </c>
      <c r="Y64" s="21" t="s">
        <v>55</v>
      </c>
    </row>
    <row r="65" spans="1:25" hidden="1" x14ac:dyDescent="0.25">
      <c r="A65" t="s">
        <v>60</v>
      </c>
      <c r="B65" s="20">
        <v>46135</v>
      </c>
      <c r="C65" s="20">
        <v>46135</v>
      </c>
      <c r="D65" t="s">
        <v>474</v>
      </c>
      <c r="E65" t="s">
        <v>465</v>
      </c>
      <c r="F65" s="21" t="s">
        <v>466</v>
      </c>
      <c r="G65">
        <v>6100293577</v>
      </c>
      <c r="H65" t="s">
        <v>467</v>
      </c>
      <c r="I65" t="s">
        <v>429</v>
      </c>
      <c r="J65" s="56">
        <v>4251</v>
      </c>
      <c r="K65" s="56">
        <v>4442</v>
      </c>
      <c r="L65">
        <v>7</v>
      </c>
      <c r="M65" t="s">
        <v>468</v>
      </c>
      <c r="N65" t="s">
        <v>97</v>
      </c>
      <c r="O65" t="s">
        <v>56</v>
      </c>
      <c r="P65" t="s">
        <v>325</v>
      </c>
      <c r="Q65" t="s">
        <v>51</v>
      </c>
      <c r="R65" t="s">
        <v>469</v>
      </c>
      <c r="S65" t="s">
        <v>70</v>
      </c>
      <c r="U65" t="s">
        <v>53</v>
      </c>
      <c r="V65" t="s">
        <v>53</v>
      </c>
      <c r="W65" t="s">
        <v>54</v>
      </c>
      <c r="X65" s="22">
        <v>7979</v>
      </c>
      <c r="Y65" s="21" t="s">
        <v>55</v>
      </c>
    </row>
    <row r="66" spans="1:25" hidden="1" x14ac:dyDescent="0.25">
      <c r="B66" s="20">
        <v>46135</v>
      </c>
      <c r="C66" s="20">
        <v>46135</v>
      </c>
      <c r="D66" t="s">
        <v>474</v>
      </c>
      <c r="E66" t="s">
        <v>470</v>
      </c>
      <c r="F66" s="21" t="s">
        <v>471</v>
      </c>
      <c r="G66">
        <v>6100293577</v>
      </c>
      <c r="H66" t="s">
        <v>467</v>
      </c>
      <c r="I66" t="s">
        <v>99</v>
      </c>
      <c r="J66" s="56">
        <v>3216</v>
      </c>
      <c r="K66" s="56">
        <v>3494.5</v>
      </c>
      <c r="L66">
        <v>5</v>
      </c>
      <c r="M66" t="s">
        <v>468</v>
      </c>
      <c r="N66" t="s">
        <v>97</v>
      </c>
      <c r="O66" t="s">
        <v>75</v>
      </c>
      <c r="P66" t="s">
        <v>325</v>
      </c>
      <c r="Q66" t="s">
        <v>51</v>
      </c>
      <c r="R66" t="s">
        <v>469</v>
      </c>
      <c r="S66" t="s">
        <v>70</v>
      </c>
      <c r="U66" t="s">
        <v>53</v>
      </c>
      <c r="V66" t="s">
        <v>53</v>
      </c>
      <c r="W66" t="s">
        <v>54</v>
      </c>
      <c r="X66" s="22">
        <v>7980</v>
      </c>
      <c r="Y66" s="21" t="s">
        <v>55</v>
      </c>
    </row>
    <row r="67" spans="1:25" hidden="1" x14ac:dyDescent="0.25">
      <c r="B67" s="20">
        <v>46135</v>
      </c>
      <c r="C67" s="20">
        <v>46135</v>
      </c>
      <c r="D67" t="s">
        <v>474</v>
      </c>
      <c r="E67" t="s">
        <v>472</v>
      </c>
      <c r="F67" s="21" t="s">
        <v>473</v>
      </c>
      <c r="G67">
        <v>6100293577</v>
      </c>
      <c r="H67" t="s">
        <v>467</v>
      </c>
      <c r="I67" t="s">
        <v>73</v>
      </c>
      <c r="J67" s="56">
        <v>14870</v>
      </c>
      <c r="K67" s="56">
        <v>16119</v>
      </c>
      <c r="L67">
        <v>23</v>
      </c>
      <c r="M67" t="s">
        <v>468</v>
      </c>
      <c r="N67" t="s">
        <v>97</v>
      </c>
      <c r="O67" t="s">
        <v>50</v>
      </c>
      <c r="P67" t="s">
        <v>325</v>
      </c>
      <c r="Q67" t="s">
        <v>51</v>
      </c>
      <c r="R67" t="s">
        <v>469</v>
      </c>
      <c r="S67" t="s">
        <v>70</v>
      </c>
      <c r="U67" t="s">
        <v>53</v>
      </c>
      <c r="V67" t="s">
        <v>53</v>
      </c>
      <c r="W67" t="s">
        <v>54</v>
      </c>
      <c r="X67" s="22">
        <v>7981</v>
      </c>
      <c r="Y67" s="21" t="s">
        <v>55</v>
      </c>
    </row>
    <row r="68" spans="1:25" hidden="1" x14ac:dyDescent="0.25">
      <c r="A68" t="s">
        <v>49</v>
      </c>
      <c r="B68" s="20">
        <v>46135</v>
      </c>
      <c r="C68" s="20">
        <v>46136</v>
      </c>
      <c r="D68" t="s">
        <v>496</v>
      </c>
      <c r="E68" t="s">
        <v>475</v>
      </c>
      <c r="F68" s="21" t="s">
        <v>476</v>
      </c>
      <c r="G68">
        <v>6100293430</v>
      </c>
      <c r="H68" t="s">
        <v>190</v>
      </c>
      <c r="I68" t="s">
        <v>198</v>
      </c>
      <c r="J68" s="56">
        <v>3222</v>
      </c>
      <c r="K68" s="56">
        <v>3461.44</v>
      </c>
      <c r="L68">
        <v>6</v>
      </c>
      <c r="M68" t="s">
        <v>192</v>
      </c>
      <c r="N68" t="s">
        <v>193</v>
      </c>
      <c r="O68" t="s">
        <v>199</v>
      </c>
      <c r="P68" t="s">
        <v>150</v>
      </c>
      <c r="Q68" t="s">
        <v>51</v>
      </c>
      <c r="R68" t="s">
        <v>195</v>
      </c>
      <c r="S68" t="s">
        <v>61</v>
      </c>
      <c r="U68" t="s">
        <v>53</v>
      </c>
      <c r="V68" t="s">
        <v>53</v>
      </c>
      <c r="W68" t="s">
        <v>54</v>
      </c>
      <c r="X68" s="22">
        <v>7966</v>
      </c>
      <c r="Y68" s="21" t="s">
        <v>55</v>
      </c>
    </row>
    <row r="69" spans="1:25" hidden="1" x14ac:dyDescent="0.25">
      <c r="B69" s="20">
        <v>46135</v>
      </c>
      <c r="C69" s="20">
        <v>46136</v>
      </c>
      <c r="D69" t="s">
        <v>496</v>
      </c>
      <c r="E69" t="s">
        <v>477</v>
      </c>
      <c r="F69" s="21" t="s">
        <v>478</v>
      </c>
      <c r="G69">
        <v>6100293430</v>
      </c>
      <c r="H69" t="s">
        <v>190</v>
      </c>
      <c r="I69" t="s">
        <v>479</v>
      </c>
      <c r="J69" s="56">
        <v>2904.3</v>
      </c>
      <c r="K69" s="56">
        <v>3055.5</v>
      </c>
      <c r="L69">
        <v>4</v>
      </c>
      <c r="M69" t="s">
        <v>192</v>
      </c>
      <c r="N69" t="s">
        <v>193</v>
      </c>
      <c r="O69" t="s">
        <v>480</v>
      </c>
      <c r="P69" t="s">
        <v>150</v>
      </c>
      <c r="Q69" t="s">
        <v>51</v>
      </c>
      <c r="R69" t="s">
        <v>195</v>
      </c>
      <c r="S69" t="s">
        <v>61</v>
      </c>
      <c r="U69" t="s">
        <v>53</v>
      </c>
      <c r="V69" t="s">
        <v>53</v>
      </c>
      <c r="W69" t="s">
        <v>54</v>
      </c>
      <c r="X69" s="22">
        <v>7967</v>
      </c>
      <c r="Y69" s="21" t="s">
        <v>55</v>
      </c>
    </row>
    <row r="70" spans="1:25" hidden="1" x14ac:dyDescent="0.25">
      <c r="B70" s="20">
        <v>46135</v>
      </c>
      <c r="C70" s="20">
        <v>46136</v>
      </c>
      <c r="D70" t="s">
        <v>496</v>
      </c>
      <c r="E70" t="s">
        <v>481</v>
      </c>
      <c r="F70" s="21" t="s">
        <v>482</v>
      </c>
      <c r="G70">
        <v>6100293430</v>
      </c>
      <c r="H70" t="s">
        <v>190</v>
      </c>
      <c r="I70" t="s">
        <v>479</v>
      </c>
      <c r="J70" s="56">
        <v>2888.3</v>
      </c>
      <c r="K70" s="56">
        <v>3042.5</v>
      </c>
      <c r="L70">
        <v>4</v>
      </c>
      <c r="M70" t="s">
        <v>192</v>
      </c>
      <c r="N70" t="s">
        <v>193</v>
      </c>
      <c r="O70" t="s">
        <v>480</v>
      </c>
      <c r="P70" t="s">
        <v>150</v>
      </c>
      <c r="Q70" t="s">
        <v>51</v>
      </c>
      <c r="R70" t="s">
        <v>195</v>
      </c>
      <c r="S70" t="s">
        <v>61</v>
      </c>
      <c r="U70" t="s">
        <v>53</v>
      </c>
      <c r="V70" t="s">
        <v>53</v>
      </c>
      <c r="W70" t="s">
        <v>54</v>
      </c>
      <c r="X70" s="22">
        <v>7968</v>
      </c>
      <c r="Y70" s="21" t="s">
        <v>55</v>
      </c>
    </row>
    <row r="71" spans="1:25" hidden="1" x14ac:dyDescent="0.25">
      <c r="B71" s="20">
        <v>46135</v>
      </c>
      <c r="C71" s="20">
        <v>46136</v>
      </c>
      <c r="D71" t="s">
        <v>496</v>
      </c>
      <c r="E71" t="s">
        <v>483</v>
      </c>
      <c r="F71" s="21" t="s">
        <v>484</v>
      </c>
      <c r="G71">
        <v>6100293430</v>
      </c>
      <c r="H71" t="s">
        <v>190</v>
      </c>
      <c r="I71" t="s">
        <v>191</v>
      </c>
      <c r="J71" s="56">
        <v>2167.34</v>
      </c>
      <c r="K71" s="56">
        <v>2303.5</v>
      </c>
      <c r="L71">
        <v>4</v>
      </c>
      <c r="M71" t="s">
        <v>192</v>
      </c>
      <c r="N71" t="s">
        <v>193</v>
      </c>
      <c r="O71" t="s">
        <v>194</v>
      </c>
      <c r="P71" t="s">
        <v>150</v>
      </c>
      <c r="Q71" t="s">
        <v>51</v>
      </c>
      <c r="R71" t="s">
        <v>195</v>
      </c>
      <c r="S71" t="s">
        <v>61</v>
      </c>
      <c r="U71" t="s">
        <v>53</v>
      </c>
      <c r="V71" t="s">
        <v>53</v>
      </c>
      <c r="W71" t="s">
        <v>54</v>
      </c>
      <c r="X71" s="22">
        <v>7969</v>
      </c>
      <c r="Y71" s="21" t="s">
        <v>55</v>
      </c>
    </row>
    <row r="72" spans="1:25" hidden="1" x14ac:dyDescent="0.25">
      <c r="B72" s="20">
        <v>46135</v>
      </c>
      <c r="C72" s="20">
        <v>46136</v>
      </c>
      <c r="D72" t="s">
        <v>496</v>
      </c>
      <c r="E72" t="s">
        <v>485</v>
      </c>
      <c r="F72" s="21" t="s">
        <v>486</v>
      </c>
      <c r="G72">
        <v>6100293430</v>
      </c>
      <c r="H72" t="s">
        <v>190</v>
      </c>
      <c r="I72" t="s">
        <v>68</v>
      </c>
      <c r="J72">
        <v>667</v>
      </c>
      <c r="K72">
        <v>722</v>
      </c>
      <c r="L72">
        <v>1</v>
      </c>
      <c r="M72" t="s">
        <v>192</v>
      </c>
      <c r="N72" t="s">
        <v>193</v>
      </c>
      <c r="O72" t="s">
        <v>50</v>
      </c>
      <c r="P72" t="s">
        <v>150</v>
      </c>
      <c r="Q72" t="s">
        <v>51</v>
      </c>
      <c r="R72" t="s">
        <v>195</v>
      </c>
      <c r="S72" t="s">
        <v>61</v>
      </c>
      <c r="U72" t="s">
        <v>53</v>
      </c>
      <c r="V72" t="s">
        <v>53</v>
      </c>
      <c r="W72" t="s">
        <v>54</v>
      </c>
      <c r="X72" s="22">
        <v>7970</v>
      </c>
      <c r="Y72" s="21" t="s">
        <v>55</v>
      </c>
    </row>
    <row r="73" spans="1:25" hidden="1" x14ac:dyDescent="0.25">
      <c r="A73" t="s">
        <v>60</v>
      </c>
      <c r="B73" s="20">
        <v>46135</v>
      </c>
      <c r="C73" s="20">
        <v>46136</v>
      </c>
      <c r="D73" t="s">
        <v>496</v>
      </c>
      <c r="E73" t="s">
        <v>487</v>
      </c>
      <c r="F73" s="21" t="s">
        <v>488</v>
      </c>
      <c r="G73">
        <v>6100293478</v>
      </c>
      <c r="H73" t="s">
        <v>489</v>
      </c>
      <c r="I73" t="s">
        <v>490</v>
      </c>
      <c r="J73" s="56">
        <v>9290.34</v>
      </c>
      <c r="K73" s="56">
        <v>9950.7999999999993</v>
      </c>
      <c r="L73">
        <v>19</v>
      </c>
      <c r="M73" t="s">
        <v>491</v>
      </c>
      <c r="N73" t="s">
        <v>193</v>
      </c>
      <c r="O73" t="s">
        <v>492</v>
      </c>
      <c r="P73" t="s">
        <v>106</v>
      </c>
      <c r="Q73" t="s">
        <v>118</v>
      </c>
      <c r="R73" t="s">
        <v>493</v>
      </c>
      <c r="S73" t="s">
        <v>61</v>
      </c>
      <c r="U73" t="s">
        <v>53</v>
      </c>
      <c r="V73" t="s">
        <v>53</v>
      </c>
      <c r="W73" t="s">
        <v>54</v>
      </c>
      <c r="X73" s="22">
        <v>7972</v>
      </c>
      <c r="Y73" s="21" t="s">
        <v>55</v>
      </c>
    </row>
    <row r="74" spans="1:25" hidden="1" x14ac:dyDescent="0.25">
      <c r="B74" s="20">
        <v>46135</v>
      </c>
      <c r="C74" s="20">
        <v>46136</v>
      </c>
      <c r="D74" t="s">
        <v>496</v>
      </c>
      <c r="E74" t="s">
        <v>494</v>
      </c>
      <c r="F74" s="21" t="s">
        <v>495</v>
      </c>
      <c r="G74">
        <v>6100293478</v>
      </c>
      <c r="H74" t="s">
        <v>489</v>
      </c>
      <c r="I74" t="s">
        <v>68</v>
      </c>
      <c r="J74">
        <v>669</v>
      </c>
      <c r="K74">
        <v>722.5</v>
      </c>
      <c r="L74">
        <v>1</v>
      </c>
      <c r="M74" t="s">
        <v>491</v>
      </c>
      <c r="N74" t="s">
        <v>193</v>
      </c>
      <c r="O74" t="s">
        <v>50</v>
      </c>
      <c r="P74" t="s">
        <v>106</v>
      </c>
      <c r="Q74" t="s">
        <v>118</v>
      </c>
      <c r="R74" t="s">
        <v>493</v>
      </c>
      <c r="S74" t="s">
        <v>61</v>
      </c>
      <c r="U74" t="s">
        <v>53</v>
      </c>
      <c r="V74" t="s">
        <v>53</v>
      </c>
      <c r="W74" t="s">
        <v>54</v>
      </c>
      <c r="X74" s="22">
        <v>7974</v>
      </c>
      <c r="Y74" s="21" t="s">
        <v>55</v>
      </c>
    </row>
    <row r="75" spans="1:25" hidden="1" x14ac:dyDescent="0.25">
      <c r="A75" t="s">
        <v>49</v>
      </c>
      <c r="B75" s="20">
        <v>46135</v>
      </c>
      <c r="C75" s="20">
        <v>46135</v>
      </c>
      <c r="D75" t="s">
        <v>499</v>
      </c>
      <c r="E75" t="s">
        <v>497</v>
      </c>
      <c r="F75" s="21" t="s">
        <v>498</v>
      </c>
      <c r="G75">
        <v>6100293479</v>
      </c>
      <c r="H75" t="s">
        <v>174</v>
      </c>
      <c r="I75" t="s">
        <v>116</v>
      </c>
      <c r="J75">
        <v>11777.08</v>
      </c>
      <c r="K75">
        <v>12679.58</v>
      </c>
      <c r="L75">
        <v>26</v>
      </c>
      <c r="M75" t="s">
        <v>175</v>
      </c>
      <c r="N75" t="s">
        <v>97</v>
      </c>
      <c r="O75" t="s">
        <v>117</v>
      </c>
      <c r="P75" t="s">
        <v>106</v>
      </c>
      <c r="Q75" t="s">
        <v>118</v>
      </c>
      <c r="R75" t="s">
        <v>176</v>
      </c>
      <c r="S75" t="s">
        <v>63</v>
      </c>
      <c r="U75" t="s">
        <v>53</v>
      </c>
      <c r="V75" t="s">
        <v>53</v>
      </c>
      <c r="W75" t="s">
        <v>54</v>
      </c>
      <c r="X75" s="22">
        <v>7976</v>
      </c>
      <c r="Y75" s="21" t="s">
        <v>55</v>
      </c>
    </row>
    <row r="76" spans="1:25" hidden="1" x14ac:dyDescent="0.25">
      <c r="A76" t="s">
        <v>49</v>
      </c>
      <c r="B76" s="20">
        <v>46135</v>
      </c>
      <c r="C76" s="20">
        <v>46136</v>
      </c>
      <c r="D76" t="s">
        <v>516</v>
      </c>
      <c r="E76" t="s">
        <v>500</v>
      </c>
      <c r="F76" s="21" t="s">
        <v>501</v>
      </c>
      <c r="G76">
        <v>6100293579</v>
      </c>
      <c r="H76" t="s">
        <v>502</v>
      </c>
      <c r="I76" t="s">
        <v>73</v>
      </c>
      <c r="J76" s="56">
        <v>1932</v>
      </c>
      <c r="K76" s="56">
        <v>2103.5</v>
      </c>
      <c r="L76">
        <v>3</v>
      </c>
      <c r="M76" t="s">
        <v>503</v>
      </c>
      <c r="N76" t="s">
        <v>148</v>
      </c>
      <c r="O76" t="s">
        <v>50</v>
      </c>
      <c r="P76" t="s">
        <v>150</v>
      </c>
      <c r="Q76" t="s">
        <v>504</v>
      </c>
      <c r="R76" t="s">
        <v>505</v>
      </c>
      <c r="U76" t="s">
        <v>53</v>
      </c>
      <c r="V76" t="s">
        <v>53</v>
      </c>
      <c r="W76" t="s">
        <v>54</v>
      </c>
      <c r="X76" s="22">
        <v>7971</v>
      </c>
      <c r="Y76" s="21" t="s">
        <v>55</v>
      </c>
    </row>
    <row r="77" spans="1:25" hidden="1" x14ac:dyDescent="0.25">
      <c r="B77" s="20">
        <v>46135</v>
      </c>
      <c r="C77" s="20">
        <v>46136</v>
      </c>
      <c r="D77" t="s">
        <v>516</v>
      </c>
      <c r="E77" t="s">
        <v>506</v>
      </c>
      <c r="F77" s="21" t="s">
        <v>507</v>
      </c>
      <c r="G77">
        <v>6100293579</v>
      </c>
      <c r="H77" t="s">
        <v>502</v>
      </c>
      <c r="I77" t="s">
        <v>73</v>
      </c>
      <c r="J77" s="56">
        <v>1307.5</v>
      </c>
      <c r="K77" s="56">
        <v>1421.5</v>
      </c>
      <c r="L77">
        <v>2</v>
      </c>
      <c r="M77" t="s">
        <v>503</v>
      </c>
      <c r="N77" t="s">
        <v>148</v>
      </c>
      <c r="O77" t="s">
        <v>50</v>
      </c>
      <c r="P77" t="s">
        <v>150</v>
      </c>
      <c r="Q77" t="s">
        <v>504</v>
      </c>
      <c r="R77" t="s">
        <v>505</v>
      </c>
      <c r="U77" t="s">
        <v>53</v>
      </c>
      <c r="V77" t="s">
        <v>53</v>
      </c>
      <c r="W77" t="s">
        <v>54</v>
      </c>
      <c r="X77" s="22">
        <v>7973</v>
      </c>
      <c r="Y77" s="21" t="s">
        <v>55</v>
      </c>
    </row>
    <row r="78" spans="1:25" hidden="1" x14ac:dyDescent="0.25">
      <c r="B78" s="20">
        <v>46135</v>
      </c>
      <c r="C78" s="20">
        <v>46136</v>
      </c>
      <c r="D78" t="s">
        <v>516</v>
      </c>
      <c r="E78" t="s">
        <v>508</v>
      </c>
      <c r="F78" s="21" t="s">
        <v>509</v>
      </c>
      <c r="G78">
        <v>6100293579</v>
      </c>
      <c r="H78" t="s">
        <v>502</v>
      </c>
      <c r="I78" t="s">
        <v>73</v>
      </c>
      <c r="J78" s="56">
        <v>1937.5</v>
      </c>
      <c r="K78" s="56">
        <v>2103.5</v>
      </c>
      <c r="L78">
        <v>3</v>
      </c>
      <c r="M78" t="s">
        <v>503</v>
      </c>
      <c r="N78" t="s">
        <v>148</v>
      </c>
      <c r="O78" t="s">
        <v>50</v>
      </c>
      <c r="P78" t="s">
        <v>150</v>
      </c>
      <c r="Q78" t="s">
        <v>504</v>
      </c>
      <c r="R78" t="s">
        <v>505</v>
      </c>
      <c r="U78" t="s">
        <v>53</v>
      </c>
      <c r="V78" t="s">
        <v>53</v>
      </c>
      <c r="W78" t="s">
        <v>54</v>
      </c>
      <c r="X78" s="22">
        <v>7975</v>
      </c>
      <c r="Y78" s="21" t="s">
        <v>55</v>
      </c>
    </row>
    <row r="79" spans="1:25" hidden="1" x14ac:dyDescent="0.25">
      <c r="A79" t="s">
        <v>60</v>
      </c>
      <c r="B79" s="20">
        <v>46135</v>
      </c>
      <c r="C79" s="20">
        <v>46136</v>
      </c>
      <c r="D79" t="s">
        <v>516</v>
      </c>
      <c r="E79" t="s">
        <v>510</v>
      </c>
      <c r="F79" s="21" t="s">
        <v>511</v>
      </c>
      <c r="G79">
        <v>6100293534</v>
      </c>
      <c r="H79" t="s">
        <v>512</v>
      </c>
      <c r="I79" t="s">
        <v>513</v>
      </c>
      <c r="J79" s="56">
        <v>3148.3</v>
      </c>
      <c r="K79" s="56">
        <v>3328</v>
      </c>
      <c r="L79">
        <v>6</v>
      </c>
      <c r="M79" t="s">
        <v>514</v>
      </c>
      <c r="N79" t="s">
        <v>148</v>
      </c>
      <c r="O79" t="s">
        <v>515</v>
      </c>
      <c r="P79" t="s">
        <v>150</v>
      </c>
      <c r="Q79" t="s">
        <v>51</v>
      </c>
      <c r="R79" t="s">
        <v>424</v>
      </c>
      <c r="U79" t="s">
        <v>53</v>
      </c>
      <c r="V79" t="s">
        <v>53</v>
      </c>
      <c r="W79" t="s">
        <v>54</v>
      </c>
      <c r="X79" s="22">
        <v>7977</v>
      </c>
      <c r="Y79" s="21" t="s">
        <v>55</v>
      </c>
    </row>
    <row r="80" spans="1:25" hidden="1" x14ac:dyDescent="0.25">
      <c r="A80" t="s">
        <v>49</v>
      </c>
      <c r="B80" s="20">
        <v>46136</v>
      </c>
      <c r="C80" s="20">
        <v>46139</v>
      </c>
      <c r="D80" t="s">
        <v>529</v>
      </c>
      <c r="E80" t="s">
        <v>517</v>
      </c>
      <c r="F80" s="21" t="s">
        <v>518</v>
      </c>
      <c r="G80">
        <v>6100293431</v>
      </c>
      <c r="H80" t="s">
        <v>441</v>
      </c>
      <c r="I80" t="s">
        <v>442</v>
      </c>
      <c r="J80" s="56">
        <v>4097.72</v>
      </c>
      <c r="K80" s="56">
        <v>4462</v>
      </c>
      <c r="L80">
        <v>9</v>
      </c>
      <c r="M80" t="s">
        <v>519</v>
      </c>
      <c r="N80" t="s">
        <v>138</v>
      </c>
      <c r="O80" t="s">
        <v>303</v>
      </c>
      <c r="P80" t="s">
        <v>325</v>
      </c>
      <c r="Q80" t="s">
        <v>520</v>
      </c>
      <c r="R80" t="s">
        <v>521</v>
      </c>
      <c r="S80" t="s">
        <v>63</v>
      </c>
      <c r="T80" t="s">
        <v>255</v>
      </c>
      <c r="U80" t="s">
        <v>53</v>
      </c>
      <c r="V80" t="s">
        <v>53</v>
      </c>
      <c r="W80" t="s">
        <v>54</v>
      </c>
      <c r="X80" s="22">
        <v>7990</v>
      </c>
      <c r="Y80" s="21" t="s">
        <v>55</v>
      </c>
    </row>
    <row r="81" spans="1:25" hidden="1" x14ac:dyDescent="0.25">
      <c r="B81" s="20">
        <v>46136</v>
      </c>
      <c r="C81" s="20">
        <v>46139</v>
      </c>
      <c r="D81" t="s">
        <v>529</v>
      </c>
      <c r="E81" t="s">
        <v>522</v>
      </c>
      <c r="F81" s="21" t="s">
        <v>523</v>
      </c>
      <c r="G81">
        <v>6100293431</v>
      </c>
      <c r="H81" t="s">
        <v>441</v>
      </c>
      <c r="I81" t="s">
        <v>524</v>
      </c>
      <c r="J81" s="56">
        <v>3791.4</v>
      </c>
      <c r="K81" s="56">
        <v>4204.5</v>
      </c>
      <c r="L81">
        <v>8</v>
      </c>
      <c r="M81" t="s">
        <v>519</v>
      </c>
      <c r="N81" t="s">
        <v>138</v>
      </c>
      <c r="O81" t="s">
        <v>525</v>
      </c>
      <c r="P81" t="s">
        <v>325</v>
      </c>
      <c r="Q81" t="s">
        <v>520</v>
      </c>
      <c r="R81" t="s">
        <v>521</v>
      </c>
      <c r="S81" t="s">
        <v>63</v>
      </c>
      <c r="T81" t="s">
        <v>255</v>
      </c>
      <c r="U81" t="s">
        <v>53</v>
      </c>
      <c r="V81" t="s">
        <v>53</v>
      </c>
      <c r="W81" t="s">
        <v>54</v>
      </c>
      <c r="X81" s="22">
        <v>7991</v>
      </c>
      <c r="Y81" s="21" t="s">
        <v>55</v>
      </c>
    </row>
    <row r="82" spans="1:25" hidden="1" x14ac:dyDescent="0.25">
      <c r="B82" s="20">
        <v>46136</v>
      </c>
      <c r="C82" s="20">
        <v>46139</v>
      </c>
      <c r="D82" t="s">
        <v>529</v>
      </c>
      <c r="E82" t="s">
        <v>526</v>
      </c>
      <c r="F82" s="21">
        <v>80688730</v>
      </c>
      <c r="G82">
        <v>6100293431</v>
      </c>
      <c r="H82" t="s">
        <v>441</v>
      </c>
      <c r="I82" t="s">
        <v>527</v>
      </c>
      <c r="J82">
        <v>2581.5</v>
      </c>
      <c r="K82">
        <v>2817</v>
      </c>
      <c r="L82">
        <v>3</v>
      </c>
      <c r="M82" t="s">
        <v>519</v>
      </c>
      <c r="N82" t="s">
        <v>138</v>
      </c>
      <c r="O82" t="s">
        <v>528</v>
      </c>
      <c r="P82" t="s">
        <v>325</v>
      </c>
      <c r="Q82" t="s">
        <v>520</v>
      </c>
      <c r="R82" t="s">
        <v>521</v>
      </c>
      <c r="S82" t="s">
        <v>63</v>
      </c>
      <c r="T82" t="s">
        <v>255</v>
      </c>
      <c r="U82" t="s">
        <v>53</v>
      </c>
      <c r="V82" t="s">
        <v>53</v>
      </c>
      <c r="W82" t="s">
        <v>54</v>
      </c>
      <c r="X82" s="22">
        <v>7993</v>
      </c>
      <c r="Y82" s="21" t="s">
        <v>55</v>
      </c>
    </row>
    <row r="83" spans="1:25" hidden="1" x14ac:dyDescent="0.25">
      <c r="A83" t="s">
        <v>49</v>
      </c>
      <c r="B83" s="20">
        <v>46136</v>
      </c>
      <c r="C83" s="20">
        <v>46139</v>
      </c>
      <c r="D83" t="s">
        <v>538</v>
      </c>
      <c r="E83" t="s">
        <v>530</v>
      </c>
      <c r="F83" s="21" t="s">
        <v>531</v>
      </c>
      <c r="G83">
        <v>6100293535</v>
      </c>
      <c r="H83" t="s">
        <v>441</v>
      </c>
      <c r="I83" t="s">
        <v>532</v>
      </c>
      <c r="J83" s="56">
        <v>4231.6000000000004</v>
      </c>
      <c r="K83" s="56">
        <v>4584.8999999999996</v>
      </c>
      <c r="L83">
        <v>7</v>
      </c>
      <c r="M83" t="s">
        <v>519</v>
      </c>
      <c r="N83" t="s">
        <v>138</v>
      </c>
      <c r="O83" t="s">
        <v>533</v>
      </c>
      <c r="P83" t="s">
        <v>325</v>
      </c>
      <c r="Q83" t="s">
        <v>520</v>
      </c>
      <c r="R83" t="s">
        <v>521</v>
      </c>
      <c r="S83" t="s">
        <v>61</v>
      </c>
      <c r="T83" t="s">
        <v>276</v>
      </c>
      <c r="U83" t="s">
        <v>53</v>
      </c>
      <c r="V83" t="s">
        <v>53</v>
      </c>
      <c r="W83" t="s">
        <v>54</v>
      </c>
      <c r="X83" s="22">
        <v>7994</v>
      </c>
      <c r="Y83" s="21" t="s">
        <v>55</v>
      </c>
    </row>
    <row r="84" spans="1:25" hidden="1" x14ac:dyDescent="0.25">
      <c r="B84" s="20">
        <v>46136</v>
      </c>
      <c r="C84" s="20">
        <v>46139</v>
      </c>
      <c r="D84" t="s">
        <v>538</v>
      </c>
      <c r="E84" t="s">
        <v>534</v>
      </c>
      <c r="F84" s="21" t="s">
        <v>535</v>
      </c>
      <c r="G84">
        <v>6100293535</v>
      </c>
      <c r="H84" t="s">
        <v>441</v>
      </c>
      <c r="I84" t="s">
        <v>524</v>
      </c>
      <c r="J84" s="56">
        <v>11884.67</v>
      </c>
      <c r="K84" s="56">
        <v>13066.7</v>
      </c>
      <c r="L84">
        <v>24</v>
      </c>
      <c r="M84" t="s">
        <v>519</v>
      </c>
      <c r="N84" t="s">
        <v>138</v>
      </c>
      <c r="O84" t="s">
        <v>525</v>
      </c>
      <c r="P84" t="s">
        <v>325</v>
      </c>
      <c r="Q84" t="s">
        <v>536</v>
      </c>
      <c r="R84" t="s">
        <v>537</v>
      </c>
      <c r="S84" t="s">
        <v>61</v>
      </c>
      <c r="T84" t="s">
        <v>276</v>
      </c>
      <c r="U84" t="s">
        <v>53</v>
      </c>
      <c r="V84" t="s">
        <v>53</v>
      </c>
      <c r="W84" t="s">
        <v>54</v>
      </c>
      <c r="X84" s="22">
        <v>7992</v>
      </c>
      <c r="Y84" s="21" t="s">
        <v>55</v>
      </c>
    </row>
    <row r="85" spans="1:25" hidden="1" x14ac:dyDescent="0.25">
      <c r="A85" t="s">
        <v>49</v>
      </c>
      <c r="B85" s="20">
        <v>46136</v>
      </c>
      <c r="C85" s="20">
        <v>46139</v>
      </c>
      <c r="D85" t="s">
        <v>552</v>
      </c>
      <c r="E85" t="s">
        <v>539</v>
      </c>
      <c r="F85" s="21" t="s">
        <v>540</v>
      </c>
      <c r="G85">
        <v>6100293589</v>
      </c>
      <c r="H85" t="s">
        <v>541</v>
      </c>
      <c r="I85" t="s">
        <v>300</v>
      </c>
      <c r="J85" s="56">
        <v>1270.8</v>
      </c>
      <c r="K85" s="56">
        <v>1337.88</v>
      </c>
      <c r="L85">
        <v>2</v>
      </c>
      <c r="M85" t="s">
        <v>422</v>
      </c>
      <c r="N85" t="s">
        <v>148</v>
      </c>
      <c r="O85" t="s">
        <v>303</v>
      </c>
      <c r="P85" t="s">
        <v>150</v>
      </c>
      <c r="Q85" t="s">
        <v>51</v>
      </c>
      <c r="R85" t="s">
        <v>542</v>
      </c>
      <c r="S85" t="s">
        <v>61</v>
      </c>
      <c r="T85" t="s">
        <v>255</v>
      </c>
      <c r="U85" t="s">
        <v>53</v>
      </c>
      <c r="V85" t="s">
        <v>53</v>
      </c>
      <c r="W85" t="s">
        <v>54</v>
      </c>
      <c r="X85" s="22">
        <v>7988</v>
      </c>
      <c r="Y85" s="21" t="s">
        <v>55</v>
      </c>
    </row>
    <row r="86" spans="1:25" hidden="1" x14ac:dyDescent="0.25">
      <c r="B86" s="20">
        <v>46136</v>
      </c>
      <c r="C86" s="20">
        <v>46139</v>
      </c>
      <c r="D86" t="s">
        <v>552</v>
      </c>
      <c r="E86" t="s">
        <v>543</v>
      </c>
      <c r="F86" s="21" t="s">
        <v>544</v>
      </c>
      <c r="G86">
        <v>6100293589</v>
      </c>
      <c r="H86" t="s">
        <v>541</v>
      </c>
      <c r="I86" t="s">
        <v>162</v>
      </c>
      <c r="J86" s="56">
        <v>1497.32</v>
      </c>
      <c r="K86" s="56">
        <v>1614</v>
      </c>
      <c r="L86">
        <v>3</v>
      </c>
      <c r="M86" t="s">
        <v>422</v>
      </c>
      <c r="N86" t="s">
        <v>148</v>
      </c>
      <c r="O86" t="s">
        <v>164</v>
      </c>
      <c r="P86" t="s">
        <v>150</v>
      </c>
      <c r="Q86" t="s">
        <v>51</v>
      </c>
      <c r="R86" t="s">
        <v>542</v>
      </c>
      <c r="S86" t="s">
        <v>61</v>
      </c>
      <c r="T86" t="s">
        <v>255</v>
      </c>
      <c r="U86" t="s">
        <v>53</v>
      </c>
      <c r="V86" t="s">
        <v>53</v>
      </c>
      <c r="W86" t="s">
        <v>54</v>
      </c>
      <c r="X86" s="22">
        <v>7989</v>
      </c>
      <c r="Y86" s="21" t="s">
        <v>55</v>
      </c>
    </row>
    <row r="87" spans="1:25" hidden="1" x14ac:dyDescent="0.25">
      <c r="A87" t="s">
        <v>60</v>
      </c>
      <c r="B87" s="20">
        <v>46136</v>
      </c>
      <c r="C87" s="20">
        <v>46140</v>
      </c>
      <c r="D87" t="s">
        <v>552</v>
      </c>
      <c r="E87" t="s">
        <v>545</v>
      </c>
      <c r="F87" s="21" t="s">
        <v>546</v>
      </c>
      <c r="G87">
        <v>6100293496</v>
      </c>
      <c r="H87" t="s">
        <v>547</v>
      </c>
      <c r="I87" t="s">
        <v>162</v>
      </c>
      <c r="J87" s="56">
        <v>3495.5</v>
      </c>
      <c r="K87" s="56">
        <v>3719.34</v>
      </c>
      <c r="L87">
        <v>7</v>
      </c>
      <c r="M87" t="s">
        <v>548</v>
      </c>
      <c r="N87" t="s">
        <v>302</v>
      </c>
      <c r="O87" t="s">
        <v>164</v>
      </c>
      <c r="P87" t="s">
        <v>150</v>
      </c>
      <c r="Q87" t="s">
        <v>51</v>
      </c>
      <c r="R87" t="s">
        <v>549</v>
      </c>
      <c r="S87" t="s">
        <v>61</v>
      </c>
      <c r="T87" t="s">
        <v>255</v>
      </c>
      <c r="U87" t="s">
        <v>53</v>
      </c>
      <c r="V87" t="s">
        <v>53</v>
      </c>
      <c r="W87" t="s">
        <v>54</v>
      </c>
      <c r="X87" s="22">
        <v>7983</v>
      </c>
      <c r="Y87" s="21" t="s">
        <v>55</v>
      </c>
    </row>
    <row r="88" spans="1:25" hidden="1" x14ac:dyDescent="0.25">
      <c r="B88" s="20">
        <v>46136</v>
      </c>
      <c r="C88" s="20">
        <v>46140</v>
      </c>
      <c r="D88" t="s">
        <v>552</v>
      </c>
      <c r="E88" t="s">
        <v>550</v>
      </c>
      <c r="F88" s="21" t="s">
        <v>551</v>
      </c>
      <c r="G88">
        <v>6100293496</v>
      </c>
      <c r="H88" t="s">
        <v>547</v>
      </c>
      <c r="I88" t="s">
        <v>168</v>
      </c>
      <c r="J88" s="56">
        <v>13499.914000000001</v>
      </c>
      <c r="K88" s="56">
        <v>14281.45</v>
      </c>
      <c r="L88">
        <v>22</v>
      </c>
      <c r="M88" t="s">
        <v>548</v>
      </c>
      <c r="N88" t="s">
        <v>302</v>
      </c>
      <c r="O88" t="s">
        <v>169</v>
      </c>
      <c r="P88" t="s">
        <v>150</v>
      </c>
      <c r="Q88" t="s">
        <v>51</v>
      </c>
      <c r="R88" t="s">
        <v>549</v>
      </c>
      <c r="S88" t="s">
        <v>61</v>
      </c>
      <c r="T88" t="s">
        <v>255</v>
      </c>
      <c r="U88" t="s">
        <v>53</v>
      </c>
      <c r="V88" t="s">
        <v>53</v>
      </c>
      <c r="W88" t="s">
        <v>54</v>
      </c>
      <c r="X88" s="22">
        <v>7985</v>
      </c>
      <c r="Y88" s="21" t="s">
        <v>55</v>
      </c>
    </row>
    <row r="89" spans="1:25" hidden="1" x14ac:dyDescent="0.25">
      <c r="A89" t="s">
        <v>49</v>
      </c>
      <c r="B89" s="20">
        <v>46136</v>
      </c>
      <c r="C89" s="20">
        <v>46139</v>
      </c>
      <c r="D89" t="s">
        <v>561</v>
      </c>
      <c r="E89" t="s">
        <v>553</v>
      </c>
      <c r="F89" s="21" t="s">
        <v>554</v>
      </c>
      <c r="G89">
        <v>6100293498</v>
      </c>
      <c r="H89" t="s">
        <v>454</v>
      </c>
      <c r="I89" t="s">
        <v>73</v>
      </c>
      <c r="J89" s="56">
        <v>5144</v>
      </c>
      <c r="K89" s="56">
        <v>5579</v>
      </c>
      <c r="L89">
        <v>8</v>
      </c>
      <c r="M89" t="s">
        <v>455</v>
      </c>
      <c r="N89" t="s">
        <v>148</v>
      </c>
      <c r="O89" t="s">
        <v>50</v>
      </c>
      <c r="P89" t="s">
        <v>150</v>
      </c>
      <c r="Q89" t="s">
        <v>51</v>
      </c>
      <c r="R89" t="s">
        <v>456</v>
      </c>
      <c r="S89" t="s">
        <v>63</v>
      </c>
      <c r="T89" t="s">
        <v>276</v>
      </c>
      <c r="U89" t="s">
        <v>53</v>
      </c>
      <c r="V89" t="s">
        <v>53</v>
      </c>
      <c r="W89" t="s">
        <v>54</v>
      </c>
      <c r="X89" s="22">
        <v>7984</v>
      </c>
      <c r="Y89" s="21" t="s">
        <v>55</v>
      </c>
    </row>
    <row r="90" spans="1:25" hidden="1" x14ac:dyDescent="0.25">
      <c r="A90" t="s">
        <v>60</v>
      </c>
      <c r="B90" s="20">
        <v>46136</v>
      </c>
      <c r="C90" s="20">
        <v>46139</v>
      </c>
      <c r="D90" t="s">
        <v>561</v>
      </c>
      <c r="E90" t="s">
        <v>555</v>
      </c>
      <c r="F90" s="21" t="s">
        <v>556</v>
      </c>
      <c r="G90">
        <v>6100293497</v>
      </c>
      <c r="H90" t="s">
        <v>222</v>
      </c>
      <c r="I90" t="s">
        <v>557</v>
      </c>
      <c r="J90" s="56">
        <v>3629.4</v>
      </c>
      <c r="K90" s="56">
        <v>3821</v>
      </c>
      <c r="L90">
        <v>5</v>
      </c>
      <c r="M90" t="s">
        <v>216</v>
      </c>
      <c r="N90" t="s">
        <v>148</v>
      </c>
      <c r="O90" t="s">
        <v>558</v>
      </c>
      <c r="P90" t="s">
        <v>106</v>
      </c>
      <c r="Q90" t="s">
        <v>118</v>
      </c>
      <c r="R90" t="s">
        <v>223</v>
      </c>
      <c r="S90" t="s">
        <v>63</v>
      </c>
      <c r="T90" t="s">
        <v>276</v>
      </c>
      <c r="U90" t="s">
        <v>53</v>
      </c>
      <c r="V90" t="s">
        <v>53</v>
      </c>
      <c r="W90" t="s">
        <v>54</v>
      </c>
      <c r="X90" s="22">
        <v>7986</v>
      </c>
      <c r="Y90" s="21" t="s">
        <v>55</v>
      </c>
    </row>
    <row r="91" spans="1:25" hidden="1" x14ac:dyDescent="0.25">
      <c r="B91" s="20">
        <v>46136</v>
      </c>
      <c r="C91" s="20">
        <v>46139</v>
      </c>
      <c r="D91" t="s">
        <v>561</v>
      </c>
      <c r="E91" t="s">
        <v>559</v>
      </c>
      <c r="F91" s="21" t="s">
        <v>560</v>
      </c>
      <c r="G91">
        <v>6100293497</v>
      </c>
      <c r="H91" t="s">
        <v>222</v>
      </c>
      <c r="I91" t="s">
        <v>232</v>
      </c>
      <c r="J91">
        <v>744.58</v>
      </c>
      <c r="K91">
        <v>783.5</v>
      </c>
      <c r="L91">
        <v>1</v>
      </c>
      <c r="M91" t="s">
        <v>216</v>
      </c>
      <c r="N91" t="s">
        <v>148</v>
      </c>
      <c r="O91" t="s">
        <v>233</v>
      </c>
      <c r="P91" t="s">
        <v>106</v>
      </c>
      <c r="Q91" t="s">
        <v>118</v>
      </c>
      <c r="R91" t="s">
        <v>223</v>
      </c>
      <c r="S91" t="s">
        <v>63</v>
      </c>
      <c r="T91" t="s">
        <v>276</v>
      </c>
      <c r="U91" t="s">
        <v>53</v>
      </c>
      <c r="V91" t="s">
        <v>53</v>
      </c>
      <c r="W91" t="s">
        <v>54</v>
      </c>
      <c r="X91" s="22">
        <v>7987</v>
      </c>
      <c r="Y91" s="21" t="s">
        <v>55</v>
      </c>
    </row>
    <row r="92" spans="1:25" hidden="1" x14ac:dyDescent="0.25">
      <c r="A92" t="s">
        <v>49</v>
      </c>
      <c r="B92" s="20">
        <v>46139</v>
      </c>
      <c r="C92" s="20">
        <v>46139</v>
      </c>
      <c r="D92" t="s">
        <v>562</v>
      </c>
      <c r="E92" t="s">
        <v>347</v>
      </c>
      <c r="F92" s="21" t="s">
        <v>348</v>
      </c>
      <c r="G92">
        <v>6100291102</v>
      </c>
      <c r="H92" t="s">
        <v>349</v>
      </c>
      <c r="I92" t="s">
        <v>350</v>
      </c>
      <c r="J92">
        <v>17768</v>
      </c>
      <c r="K92">
        <v>19252.5</v>
      </c>
      <c r="L92">
        <v>27</v>
      </c>
      <c r="M92" t="s">
        <v>351</v>
      </c>
      <c r="N92" t="s">
        <v>97</v>
      </c>
      <c r="O92" t="s">
        <v>352</v>
      </c>
      <c r="P92" t="s">
        <v>150</v>
      </c>
      <c r="Q92" t="s">
        <v>353</v>
      </c>
      <c r="R92" t="s">
        <v>61</v>
      </c>
      <c r="S92" t="s">
        <v>61</v>
      </c>
      <c r="T92" t="s">
        <v>276</v>
      </c>
      <c r="U92" t="s">
        <v>53</v>
      </c>
      <c r="V92" t="s">
        <v>53</v>
      </c>
      <c r="W92" t="s">
        <v>54</v>
      </c>
      <c r="X92" s="22">
        <v>7915</v>
      </c>
      <c r="Y92" s="21" t="s">
        <v>55</v>
      </c>
    </row>
    <row r="93" spans="1:25" hidden="1" x14ac:dyDescent="0.25">
      <c r="B93" s="20">
        <v>46139</v>
      </c>
      <c r="C93" s="20">
        <v>46139</v>
      </c>
      <c r="D93" t="s">
        <v>562</v>
      </c>
      <c r="E93" t="s">
        <v>355</v>
      </c>
      <c r="F93" s="21" t="s">
        <v>356</v>
      </c>
      <c r="G93">
        <v>6100291102</v>
      </c>
      <c r="H93" t="s">
        <v>349</v>
      </c>
      <c r="I93" t="s">
        <v>357</v>
      </c>
      <c r="J93">
        <v>2621</v>
      </c>
      <c r="K93">
        <v>2771.5</v>
      </c>
      <c r="L93">
        <v>5</v>
      </c>
      <c r="M93" t="s">
        <v>351</v>
      </c>
      <c r="N93" t="s">
        <v>97</v>
      </c>
      <c r="O93" t="s">
        <v>358</v>
      </c>
      <c r="P93" t="s">
        <v>150</v>
      </c>
      <c r="Q93" t="s">
        <v>359</v>
      </c>
      <c r="R93" t="s">
        <v>61</v>
      </c>
      <c r="S93" t="s">
        <v>61</v>
      </c>
      <c r="T93" t="s">
        <v>276</v>
      </c>
      <c r="U93" t="s">
        <v>53</v>
      </c>
      <c r="V93" t="s">
        <v>53</v>
      </c>
      <c r="W93" t="s">
        <v>54</v>
      </c>
      <c r="X93" s="22">
        <v>7915</v>
      </c>
      <c r="Y93" s="21" t="s">
        <v>55</v>
      </c>
    </row>
    <row r="94" spans="1:25" hidden="1" x14ac:dyDescent="0.25">
      <c r="A94" t="s">
        <v>49</v>
      </c>
      <c r="B94" s="20">
        <v>46141</v>
      </c>
      <c r="C94" s="20">
        <v>46141</v>
      </c>
      <c r="D94" t="s">
        <v>575</v>
      </c>
      <c r="E94" t="s">
        <v>571</v>
      </c>
      <c r="F94" s="21" t="s">
        <v>572</v>
      </c>
      <c r="G94">
        <v>6100294945</v>
      </c>
      <c r="H94" t="s">
        <v>573</v>
      </c>
      <c r="I94" t="s">
        <v>99</v>
      </c>
      <c r="J94" s="56">
        <v>3853</v>
      </c>
      <c r="K94" s="56">
        <v>4187.5</v>
      </c>
      <c r="L94">
        <v>6</v>
      </c>
      <c r="M94" t="s">
        <v>443</v>
      </c>
      <c r="N94" t="s">
        <v>97</v>
      </c>
      <c r="O94" t="s">
        <v>75</v>
      </c>
      <c r="P94" t="s">
        <v>98</v>
      </c>
      <c r="Q94" t="s">
        <v>51</v>
      </c>
      <c r="R94" t="s">
        <v>574</v>
      </c>
      <c r="S94" t="s">
        <v>63</v>
      </c>
      <c r="U94" t="s">
        <v>53</v>
      </c>
      <c r="V94" t="s">
        <v>53</v>
      </c>
      <c r="W94" t="s">
        <v>54</v>
      </c>
      <c r="X94" s="22">
        <v>8012</v>
      </c>
      <c r="Y94" s="21" t="s">
        <v>55</v>
      </c>
    </row>
    <row r="95" spans="1:25" hidden="1" x14ac:dyDescent="0.25">
      <c r="A95" t="s">
        <v>60</v>
      </c>
      <c r="B95" s="20">
        <v>46141</v>
      </c>
      <c r="C95" s="20">
        <v>46146</v>
      </c>
      <c r="D95" t="s">
        <v>575</v>
      </c>
      <c r="E95" t="s">
        <v>563</v>
      </c>
      <c r="F95" s="21" t="s">
        <v>564</v>
      </c>
      <c r="G95">
        <v>6100294946</v>
      </c>
      <c r="H95" t="s">
        <v>565</v>
      </c>
      <c r="I95" t="s">
        <v>99</v>
      </c>
      <c r="J95" s="56">
        <v>3313</v>
      </c>
      <c r="K95" s="56">
        <v>3582</v>
      </c>
      <c r="L95">
        <v>5</v>
      </c>
      <c r="M95" t="s">
        <v>566</v>
      </c>
      <c r="N95" t="s">
        <v>148</v>
      </c>
      <c r="O95" t="s">
        <v>75</v>
      </c>
      <c r="P95" t="s">
        <v>98</v>
      </c>
      <c r="Q95" t="s">
        <v>51</v>
      </c>
      <c r="R95" t="s">
        <v>567</v>
      </c>
      <c r="S95" t="s">
        <v>63</v>
      </c>
      <c r="U95" t="s">
        <v>53</v>
      </c>
      <c r="V95" t="s">
        <v>53</v>
      </c>
      <c r="W95" t="s">
        <v>54</v>
      </c>
      <c r="X95" s="22">
        <v>8013</v>
      </c>
      <c r="Y95" s="21" t="s">
        <v>55</v>
      </c>
    </row>
    <row r="96" spans="1:25" hidden="1" x14ac:dyDescent="0.25">
      <c r="A96" t="s">
        <v>64</v>
      </c>
      <c r="B96" s="20">
        <v>46141</v>
      </c>
      <c r="C96" s="20">
        <v>46146</v>
      </c>
      <c r="D96" t="s">
        <v>575</v>
      </c>
      <c r="E96" t="s">
        <v>568</v>
      </c>
      <c r="F96" s="21" t="s">
        <v>569</v>
      </c>
      <c r="G96">
        <v>6100294947</v>
      </c>
      <c r="H96" t="s">
        <v>215</v>
      </c>
      <c r="I96" t="s">
        <v>73</v>
      </c>
      <c r="J96" s="56">
        <v>1293</v>
      </c>
      <c r="K96" s="56">
        <v>1398</v>
      </c>
      <c r="L96">
        <v>2</v>
      </c>
      <c r="M96" t="s">
        <v>216</v>
      </c>
      <c r="N96" t="s">
        <v>148</v>
      </c>
      <c r="O96" t="s">
        <v>50</v>
      </c>
      <c r="P96" t="s">
        <v>150</v>
      </c>
      <c r="Q96" t="s">
        <v>570</v>
      </c>
      <c r="R96" t="s">
        <v>218</v>
      </c>
      <c r="S96" t="s">
        <v>63</v>
      </c>
      <c r="U96" t="s">
        <v>53</v>
      </c>
      <c r="V96" t="s">
        <v>53</v>
      </c>
      <c r="W96" t="s">
        <v>54</v>
      </c>
      <c r="X96" s="22">
        <v>8014</v>
      </c>
      <c r="Y96" s="21" t="s">
        <v>55</v>
      </c>
    </row>
    <row r="97" spans="1:25" hidden="1" x14ac:dyDescent="0.25">
      <c r="A97" t="s">
        <v>49</v>
      </c>
      <c r="B97" s="20">
        <v>46140</v>
      </c>
      <c r="C97" s="20">
        <v>46142</v>
      </c>
      <c r="D97" t="s">
        <v>578</v>
      </c>
      <c r="E97" t="s">
        <v>576</v>
      </c>
      <c r="F97" s="21" t="s">
        <v>577</v>
      </c>
      <c r="G97">
        <v>6100294948</v>
      </c>
      <c r="H97" t="s">
        <v>467</v>
      </c>
      <c r="I97" t="s">
        <v>73</v>
      </c>
      <c r="J97" s="56">
        <v>25210</v>
      </c>
      <c r="K97" s="56">
        <v>27340</v>
      </c>
      <c r="L97">
        <v>39</v>
      </c>
      <c r="M97" t="s">
        <v>468</v>
      </c>
      <c r="N97" t="s">
        <v>97</v>
      </c>
      <c r="O97" t="s">
        <v>50</v>
      </c>
      <c r="P97" t="s">
        <v>325</v>
      </c>
      <c r="Q97" t="s">
        <v>51</v>
      </c>
      <c r="R97" t="s">
        <v>469</v>
      </c>
      <c r="S97" t="s">
        <v>61</v>
      </c>
      <c r="T97" t="s">
        <v>276</v>
      </c>
      <c r="U97" t="s">
        <v>53</v>
      </c>
      <c r="V97" t="s">
        <v>53</v>
      </c>
      <c r="W97" t="s">
        <v>54</v>
      </c>
      <c r="X97" s="22">
        <v>8011</v>
      </c>
      <c r="Y97" s="21" t="s">
        <v>55</v>
      </c>
    </row>
    <row r="98" spans="1:25" hidden="1" x14ac:dyDescent="0.25">
      <c r="A98" t="s">
        <v>49</v>
      </c>
      <c r="B98" s="20">
        <v>46141</v>
      </c>
      <c r="C98" s="20">
        <v>46142</v>
      </c>
      <c r="D98" t="s">
        <v>596</v>
      </c>
      <c r="E98" t="s">
        <v>579</v>
      </c>
      <c r="F98" s="21" t="s">
        <v>580</v>
      </c>
      <c r="G98">
        <v>6100294949</v>
      </c>
      <c r="H98" t="s">
        <v>581</v>
      </c>
      <c r="I98" t="s">
        <v>99</v>
      </c>
      <c r="J98" s="56">
        <v>5920.5</v>
      </c>
      <c r="K98" s="56">
        <v>6412.5</v>
      </c>
      <c r="L98">
        <v>9</v>
      </c>
      <c r="M98" t="s">
        <v>582</v>
      </c>
      <c r="N98" t="s">
        <v>105</v>
      </c>
      <c r="O98" t="s">
        <v>75</v>
      </c>
      <c r="P98" t="s">
        <v>98</v>
      </c>
      <c r="Q98" t="s">
        <v>51</v>
      </c>
      <c r="R98" t="s">
        <v>583</v>
      </c>
      <c r="S98" t="s">
        <v>61</v>
      </c>
      <c r="T98" t="s">
        <v>276</v>
      </c>
      <c r="U98" t="s">
        <v>53</v>
      </c>
      <c r="V98" t="s">
        <v>53</v>
      </c>
      <c r="W98" t="s">
        <v>54</v>
      </c>
      <c r="X98" s="22">
        <v>8015</v>
      </c>
      <c r="Y98" s="21" t="s">
        <v>55</v>
      </c>
    </row>
    <row r="99" spans="1:25" hidden="1" x14ac:dyDescent="0.25">
      <c r="A99" t="s">
        <v>60</v>
      </c>
      <c r="B99" s="20">
        <v>46141</v>
      </c>
      <c r="C99" s="20">
        <v>46146</v>
      </c>
      <c r="D99" t="s">
        <v>596</v>
      </c>
      <c r="E99" t="s">
        <v>584</v>
      </c>
      <c r="F99" s="21" t="s">
        <v>585</v>
      </c>
      <c r="G99">
        <v>6100295150</v>
      </c>
      <c r="H99" t="s">
        <v>441</v>
      </c>
      <c r="I99" t="s">
        <v>442</v>
      </c>
      <c r="J99" s="56">
        <v>3245.6</v>
      </c>
      <c r="K99" s="56">
        <v>3522.5</v>
      </c>
      <c r="L99">
        <v>7</v>
      </c>
      <c r="M99" t="s">
        <v>519</v>
      </c>
      <c r="N99" t="s">
        <v>138</v>
      </c>
      <c r="O99" t="s">
        <v>303</v>
      </c>
      <c r="P99" t="s">
        <v>325</v>
      </c>
      <c r="Q99" t="s">
        <v>51</v>
      </c>
      <c r="R99" t="s">
        <v>521</v>
      </c>
      <c r="S99" t="s">
        <v>61</v>
      </c>
      <c r="T99" t="s">
        <v>276</v>
      </c>
      <c r="U99" t="s">
        <v>53</v>
      </c>
      <c r="V99" t="s">
        <v>53</v>
      </c>
      <c r="W99" t="s">
        <v>54</v>
      </c>
      <c r="X99" s="22">
        <v>8016</v>
      </c>
      <c r="Y99" s="21" t="s">
        <v>55</v>
      </c>
    </row>
    <row r="100" spans="1:25" hidden="1" x14ac:dyDescent="0.25">
      <c r="B100" s="20">
        <v>46141</v>
      </c>
      <c r="C100" s="20">
        <v>46146</v>
      </c>
      <c r="E100" t="s">
        <v>586</v>
      </c>
      <c r="F100" s="21" t="s">
        <v>587</v>
      </c>
      <c r="G100">
        <v>6100295150</v>
      </c>
      <c r="H100" t="s">
        <v>441</v>
      </c>
      <c r="I100" t="s">
        <v>588</v>
      </c>
      <c r="J100">
        <v>5206.22</v>
      </c>
      <c r="K100">
        <v>5520.5</v>
      </c>
      <c r="L100">
        <v>10</v>
      </c>
      <c r="M100" t="s">
        <v>519</v>
      </c>
      <c r="N100" t="s">
        <v>138</v>
      </c>
      <c r="O100" t="s">
        <v>589</v>
      </c>
      <c r="P100" t="s">
        <v>325</v>
      </c>
      <c r="Q100" t="s">
        <v>51</v>
      </c>
      <c r="R100" t="s">
        <v>521</v>
      </c>
      <c r="S100" t="s">
        <v>61</v>
      </c>
      <c r="T100" t="s">
        <v>276</v>
      </c>
      <c r="U100" t="s">
        <v>53</v>
      </c>
      <c r="V100" t="s">
        <v>53</v>
      </c>
      <c r="W100" t="s">
        <v>54</v>
      </c>
      <c r="Y100" s="21" t="s">
        <v>55</v>
      </c>
    </row>
    <row r="101" spans="1:25" hidden="1" x14ac:dyDescent="0.25">
      <c r="B101" s="20">
        <v>46141</v>
      </c>
      <c r="C101" s="20">
        <v>46146</v>
      </c>
      <c r="D101" t="s">
        <v>596</v>
      </c>
      <c r="E101" t="s">
        <v>610</v>
      </c>
      <c r="F101" s="21">
        <v>80692955</v>
      </c>
      <c r="H101" t="s">
        <v>441</v>
      </c>
      <c r="I101" t="s">
        <v>611</v>
      </c>
      <c r="J101" s="56">
        <v>5746.6</v>
      </c>
      <c r="K101" s="56">
        <v>6214.5</v>
      </c>
      <c r="L101">
        <v>7</v>
      </c>
      <c r="M101" t="s">
        <v>519</v>
      </c>
      <c r="N101" t="s">
        <v>138</v>
      </c>
      <c r="P101" t="s">
        <v>325</v>
      </c>
      <c r="Q101" t="s">
        <v>51</v>
      </c>
      <c r="S101" t="s">
        <v>61</v>
      </c>
      <c r="T101" t="s">
        <v>276</v>
      </c>
      <c r="U101" t="s">
        <v>53</v>
      </c>
      <c r="V101" t="s">
        <v>53</v>
      </c>
      <c r="W101" t="s">
        <v>54</v>
      </c>
      <c r="X101" s="22">
        <v>8017</v>
      </c>
      <c r="Y101" s="21" t="s">
        <v>55</v>
      </c>
    </row>
    <row r="102" spans="1:25" hidden="1" x14ac:dyDescent="0.25">
      <c r="B102" s="20">
        <v>46141</v>
      </c>
      <c r="C102" s="20">
        <v>46146</v>
      </c>
      <c r="D102" t="s">
        <v>596</v>
      </c>
      <c r="E102" t="s">
        <v>590</v>
      </c>
      <c r="F102" s="21" t="s">
        <v>591</v>
      </c>
      <c r="G102">
        <v>6100295150</v>
      </c>
      <c r="H102" t="s">
        <v>441</v>
      </c>
      <c r="I102" t="s">
        <v>524</v>
      </c>
      <c r="J102" s="56">
        <v>3206.6</v>
      </c>
      <c r="K102" s="56">
        <v>3499.3</v>
      </c>
      <c r="L102">
        <v>6</v>
      </c>
      <c r="M102" t="s">
        <v>519</v>
      </c>
      <c r="N102" t="s">
        <v>138</v>
      </c>
      <c r="O102" t="s">
        <v>525</v>
      </c>
      <c r="P102" t="s">
        <v>325</v>
      </c>
      <c r="Q102" t="s">
        <v>51</v>
      </c>
      <c r="R102" t="s">
        <v>521</v>
      </c>
      <c r="S102" t="s">
        <v>61</v>
      </c>
      <c r="T102" t="s">
        <v>276</v>
      </c>
      <c r="U102" t="s">
        <v>53</v>
      </c>
      <c r="V102" t="s">
        <v>53</v>
      </c>
      <c r="W102" t="s">
        <v>54</v>
      </c>
      <c r="X102" s="22">
        <v>8018</v>
      </c>
      <c r="Y102" s="21" t="s">
        <v>55</v>
      </c>
    </row>
    <row r="103" spans="1:25" hidden="1" x14ac:dyDescent="0.25">
      <c r="B103" s="20">
        <v>46141</v>
      </c>
      <c r="C103" s="20">
        <v>46146</v>
      </c>
      <c r="D103" t="s">
        <v>596</v>
      </c>
      <c r="E103" t="s">
        <v>592</v>
      </c>
      <c r="F103" s="21" t="s">
        <v>593</v>
      </c>
      <c r="G103">
        <v>6100295150</v>
      </c>
      <c r="H103" t="s">
        <v>441</v>
      </c>
      <c r="I103" t="s">
        <v>594</v>
      </c>
      <c r="J103">
        <v>559.5</v>
      </c>
      <c r="K103">
        <v>610.5</v>
      </c>
      <c r="L103">
        <v>1</v>
      </c>
      <c r="M103" t="s">
        <v>519</v>
      </c>
      <c r="N103" t="s">
        <v>138</v>
      </c>
      <c r="O103" t="s">
        <v>595</v>
      </c>
      <c r="P103" t="s">
        <v>325</v>
      </c>
      <c r="Q103" t="s">
        <v>51</v>
      </c>
      <c r="R103" t="s">
        <v>521</v>
      </c>
      <c r="S103" t="s">
        <v>61</v>
      </c>
      <c r="T103" t="s">
        <v>276</v>
      </c>
      <c r="U103" t="s">
        <v>53</v>
      </c>
      <c r="V103" t="s">
        <v>53</v>
      </c>
      <c r="W103" t="s">
        <v>54</v>
      </c>
      <c r="X103" s="22">
        <v>8019</v>
      </c>
      <c r="Y103" s="21" t="s">
        <v>55</v>
      </c>
    </row>
    <row r="104" spans="1:25" hidden="1" x14ac:dyDescent="0.25">
      <c r="A104" t="s">
        <v>49</v>
      </c>
      <c r="B104" s="20">
        <v>46142</v>
      </c>
      <c r="C104" s="20">
        <v>46148</v>
      </c>
      <c r="D104" t="s">
        <v>609</v>
      </c>
      <c r="E104" t="s">
        <v>597</v>
      </c>
      <c r="F104" s="21" t="s">
        <v>598</v>
      </c>
      <c r="G104">
        <v>6100295376</v>
      </c>
      <c r="H104" t="s">
        <v>307</v>
      </c>
      <c r="I104" t="s">
        <v>68</v>
      </c>
      <c r="J104" s="56">
        <v>5910</v>
      </c>
      <c r="K104" s="56">
        <v>6404</v>
      </c>
      <c r="L104">
        <v>9</v>
      </c>
      <c r="M104" t="s">
        <v>309</v>
      </c>
      <c r="N104" t="s">
        <v>302</v>
      </c>
      <c r="O104" t="s">
        <v>50</v>
      </c>
      <c r="P104" t="s">
        <v>106</v>
      </c>
      <c r="Q104" t="s">
        <v>389</v>
      </c>
      <c r="R104" t="s">
        <v>390</v>
      </c>
      <c r="S104" t="s">
        <v>61</v>
      </c>
      <c r="T104" t="s">
        <v>255</v>
      </c>
      <c r="U104" t="s">
        <v>53</v>
      </c>
      <c r="V104" t="s">
        <v>53</v>
      </c>
      <c r="W104" t="s">
        <v>54</v>
      </c>
      <c r="X104" s="22">
        <v>8027</v>
      </c>
      <c r="Y104" s="21" t="s">
        <v>55</v>
      </c>
    </row>
    <row r="105" spans="1:25" hidden="1" x14ac:dyDescent="0.25">
      <c r="B105" s="20">
        <v>46142</v>
      </c>
      <c r="C105" s="20">
        <v>46148</v>
      </c>
      <c r="D105" t="s">
        <v>609</v>
      </c>
      <c r="E105" t="s">
        <v>599</v>
      </c>
      <c r="F105" s="21" t="s">
        <v>600</v>
      </c>
      <c r="G105">
        <v>6100295376</v>
      </c>
      <c r="H105" t="s">
        <v>307</v>
      </c>
      <c r="I105" t="s">
        <v>490</v>
      </c>
      <c r="J105" s="56">
        <v>5201.46</v>
      </c>
      <c r="K105" s="56">
        <v>5579</v>
      </c>
      <c r="L105">
        <v>11</v>
      </c>
      <c r="M105" t="s">
        <v>309</v>
      </c>
      <c r="N105" t="s">
        <v>302</v>
      </c>
      <c r="O105" t="s">
        <v>492</v>
      </c>
      <c r="P105" t="s">
        <v>106</v>
      </c>
      <c r="Q105" t="s">
        <v>389</v>
      </c>
      <c r="R105" t="s">
        <v>390</v>
      </c>
      <c r="S105" t="s">
        <v>61</v>
      </c>
      <c r="T105" t="s">
        <v>255</v>
      </c>
      <c r="U105" t="s">
        <v>53</v>
      </c>
      <c r="V105" t="s">
        <v>53</v>
      </c>
      <c r="W105" t="s">
        <v>54</v>
      </c>
      <c r="X105" s="22">
        <v>8028</v>
      </c>
      <c r="Y105" s="21" t="s">
        <v>55</v>
      </c>
    </row>
    <row r="106" spans="1:25" hidden="1" x14ac:dyDescent="0.25">
      <c r="B106" s="20">
        <v>46142</v>
      </c>
      <c r="C106" s="20">
        <v>46148</v>
      </c>
      <c r="D106" t="s">
        <v>609</v>
      </c>
      <c r="E106" t="s">
        <v>603</v>
      </c>
      <c r="F106" s="21" t="s">
        <v>604</v>
      </c>
      <c r="G106">
        <v>6100295376</v>
      </c>
      <c r="H106" t="s">
        <v>307</v>
      </c>
      <c r="I106" t="s">
        <v>240</v>
      </c>
      <c r="J106" s="56">
        <v>9905.84</v>
      </c>
      <c r="K106" s="56">
        <v>10511.18</v>
      </c>
      <c r="L106">
        <v>16</v>
      </c>
      <c r="M106" t="s">
        <v>309</v>
      </c>
      <c r="N106" t="s">
        <v>302</v>
      </c>
      <c r="O106" t="s">
        <v>241</v>
      </c>
      <c r="P106" t="s">
        <v>106</v>
      </c>
      <c r="Q106" t="s">
        <v>605</v>
      </c>
      <c r="R106" t="s">
        <v>390</v>
      </c>
      <c r="S106" t="s">
        <v>61</v>
      </c>
      <c r="T106" t="s">
        <v>255</v>
      </c>
      <c r="U106" t="s">
        <v>53</v>
      </c>
      <c r="V106" t="s">
        <v>53</v>
      </c>
      <c r="W106" t="s">
        <v>54</v>
      </c>
      <c r="X106" s="22">
        <v>8029</v>
      </c>
      <c r="Y106" s="21" t="s">
        <v>55</v>
      </c>
    </row>
    <row r="107" spans="1:25" hidden="1" x14ac:dyDescent="0.25">
      <c r="A107" t="s">
        <v>60</v>
      </c>
      <c r="B107" s="20">
        <v>46142</v>
      </c>
      <c r="C107" s="20">
        <v>46147</v>
      </c>
      <c r="D107" t="s">
        <v>609</v>
      </c>
      <c r="E107" t="s">
        <v>606</v>
      </c>
      <c r="F107" s="21" t="s">
        <v>607</v>
      </c>
      <c r="G107">
        <v>6100295377</v>
      </c>
      <c r="H107" t="s">
        <v>299</v>
      </c>
      <c r="I107" t="s">
        <v>300</v>
      </c>
      <c r="J107" s="56">
        <v>3152.32</v>
      </c>
      <c r="K107" s="56">
        <v>3286.14</v>
      </c>
      <c r="L107">
        <v>5</v>
      </c>
      <c r="M107" t="s">
        <v>301</v>
      </c>
      <c r="N107" t="s">
        <v>302</v>
      </c>
      <c r="O107" t="s">
        <v>303</v>
      </c>
      <c r="P107" t="s">
        <v>150</v>
      </c>
      <c r="Q107" t="s">
        <v>51</v>
      </c>
      <c r="R107" t="s">
        <v>608</v>
      </c>
      <c r="S107" t="s">
        <v>61</v>
      </c>
      <c r="T107" t="s">
        <v>255</v>
      </c>
      <c r="U107" t="s">
        <v>53</v>
      </c>
      <c r="V107" t="s">
        <v>53</v>
      </c>
      <c r="W107" t="s">
        <v>54</v>
      </c>
      <c r="X107" s="22">
        <v>8030</v>
      </c>
      <c r="Y107" s="21" t="s">
        <v>55</v>
      </c>
    </row>
    <row r="108" spans="1:25" hidden="1" x14ac:dyDescent="0.25">
      <c r="A108" t="s">
        <v>49</v>
      </c>
      <c r="B108" s="20">
        <v>46146</v>
      </c>
      <c r="C108" s="20">
        <v>46147</v>
      </c>
      <c r="D108" t="s">
        <v>621</v>
      </c>
      <c r="E108" t="s">
        <v>612</v>
      </c>
      <c r="F108" s="21" t="s">
        <v>613</v>
      </c>
      <c r="G108">
        <v>6100295921</v>
      </c>
      <c r="H108" t="s">
        <v>614</v>
      </c>
      <c r="I108" t="s">
        <v>74</v>
      </c>
      <c r="J108">
        <v>606</v>
      </c>
      <c r="K108">
        <v>631</v>
      </c>
      <c r="L108">
        <v>1</v>
      </c>
      <c r="M108" t="s">
        <v>294</v>
      </c>
      <c r="N108" t="s">
        <v>295</v>
      </c>
      <c r="O108" t="s">
        <v>50</v>
      </c>
      <c r="P108" t="s">
        <v>150</v>
      </c>
      <c r="Q108" t="s">
        <v>51</v>
      </c>
      <c r="R108" t="s">
        <v>615</v>
      </c>
      <c r="S108" t="s">
        <v>63</v>
      </c>
      <c r="U108" t="s">
        <v>53</v>
      </c>
      <c r="V108" t="s">
        <v>53</v>
      </c>
      <c r="W108" t="s">
        <v>54</v>
      </c>
      <c r="X108" s="22">
        <v>8037</v>
      </c>
      <c r="Y108" s="21" t="s">
        <v>55</v>
      </c>
    </row>
    <row r="109" spans="1:25" hidden="1" x14ac:dyDescent="0.25">
      <c r="A109" t="s">
        <v>60</v>
      </c>
      <c r="B109" s="20">
        <v>46146</v>
      </c>
      <c r="C109" s="20">
        <v>46148</v>
      </c>
      <c r="D109" t="s">
        <v>621</v>
      </c>
      <c r="E109" t="s">
        <v>616</v>
      </c>
      <c r="F109" s="21" t="s">
        <v>617</v>
      </c>
      <c r="G109">
        <v>6100295920</v>
      </c>
      <c r="H109" t="s">
        <v>307</v>
      </c>
      <c r="I109" t="s">
        <v>122</v>
      </c>
      <c r="J109">
        <v>978.3</v>
      </c>
      <c r="K109" s="56">
        <v>1076.5</v>
      </c>
      <c r="L109">
        <v>2</v>
      </c>
      <c r="M109" t="s">
        <v>309</v>
      </c>
      <c r="N109" t="s">
        <v>302</v>
      </c>
      <c r="O109" t="s">
        <v>69</v>
      </c>
      <c r="P109" t="s">
        <v>106</v>
      </c>
      <c r="Q109" t="s">
        <v>618</v>
      </c>
      <c r="R109" t="s">
        <v>390</v>
      </c>
      <c r="S109" t="s">
        <v>63</v>
      </c>
      <c r="U109" t="s">
        <v>53</v>
      </c>
      <c r="V109" t="s">
        <v>53</v>
      </c>
      <c r="W109" t="s">
        <v>54</v>
      </c>
      <c r="X109" s="22">
        <v>8039</v>
      </c>
      <c r="Y109" s="21" t="s">
        <v>55</v>
      </c>
    </row>
    <row r="110" spans="1:25" hidden="1" x14ac:dyDescent="0.25">
      <c r="B110" s="20">
        <v>46146</v>
      </c>
      <c r="C110" s="20">
        <v>46148</v>
      </c>
      <c r="D110" t="s">
        <v>621</v>
      </c>
      <c r="E110" t="s">
        <v>619</v>
      </c>
      <c r="F110" s="21" t="s">
        <v>620</v>
      </c>
      <c r="G110">
        <v>6100295920</v>
      </c>
      <c r="H110" t="s">
        <v>307</v>
      </c>
      <c r="I110" t="s">
        <v>226</v>
      </c>
      <c r="J110" s="56">
        <v>3928.96</v>
      </c>
      <c r="K110" s="56">
        <v>4203</v>
      </c>
      <c r="L110">
        <v>8</v>
      </c>
      <c r="M110" t="s">
        <v>309</v>
      </c>
      <c r="N110" t="s">
        <v>302</v>
      </c>
      <c r="O110" t="s">
        <v>227</v>
      </c>
      <c r="P110" t="s">
        <v>106</v>
      </c>
      <c r="Q110" t="s">
        <v>389</v>
      </c>
      <c r="R110" t="s">
        <v>390</v>
      </c>
      <c r="S110" t="s">
        <v>63</v>
      </c>
      <c r="U110" t="s">
        <v>53</v>
      </c>
      <c r="V110" t="s">
        <v>53</v>
      </c>
      <c r="W110" t="s">
        <v>54</v>
      </c>
      <c r="X110" s="22">
        <v>8042</v>
      </c>
      <c r="Y110" s="21" t="s">
        <v>55</v>
      </c>
    </row>
    <row r="111" spans="1:25" hidden="1" x14ac:dyDescent="0.25">
      <c r="B111" s="20">
        <v>46146</v>
      </c>
      <c r="C111" s="20">
        <v>46148</v>
      </c>
      <c r="D111" t="s">
        <v>621</v>
      </c>
      <c r="E111" t="s">
        <v>601</v>
      </c>
      <c r="F111" s="21" t="s">
        <v>602</v>
      </c>
      <c r="G111">
        <v>6100295920</v>
      </c>
      <c r="H111" t="s">
        <v>307</v>
      </c>
      <c r="I111" t="s">
        <v>183</v>
      </c>
      <c r="J111">
        <v>3838.42</v>
      </c>
      <c r="K111">
        <v>4100</v>
      </c>
      <c r="L111">
        <v>7</v>
      </c>
      <c r="M111" t="s">
        <v>309</v>
      </c>
      <c r="N111" t="s">
        <v>302</v>
      </c>
      <c r="O111" t="s">
        <v>184</v>
      </c>
      <c r="P111" t="s">
        <v>106</v>
      </c>
      <c r="Q111" t="s">
        <v>389</v>
      </c>
      <c r="R111" t="s">
        <v>390</v>
      </c>
      <c r="S111" t="s">
        <v>63</v>
      </c>
      <c r="U111" t="s">
        <v>53</v>
      </c>
      <c r="V111" t="s">
        <v>53</v>
      </c>
      <c r="W111" t="s">
        <v>54</v>
      </c>
      <c r="X111" s="22">
        <v>8045</v>
      </c>
      <c r="Y111" s="21" t="s">
        <v>55</v>
      </c>
    </row>
    <row r="112" spans="1:25" hidden="1" x14ac:dyDescent="0.25">
      <c r="A112" t="s">
        <v>49</v>
      </c>
      <c r="B112" s="20">
        <v>46148</v>
      </c>
      <c r="C112" s="20">
        <v>46148</v>
      </c>
      <c r="D112" t="s">
        <v>624</v>
      </c>
      <c r="E112" t="s">
        <v>622</v>
      </c>
      <c r="F112" s="21" t="s">
        <v>623</v>
      </c>
      <c r="G112">
        <v>6100295923</v>
      </c>
      <c r="H112" t="s">
        <v>174</v>
      </c>
      <c r="I112" t="s">
        <v>122</v>
      </c>
      <c r="J112" s="56">
        <v>20148.7</v>
      </c>
      <c r="K112" s="56">
        <v>22191</v>
      </c>
      <c r="L112">
        <v>41</v>
      </c>
      <c r="M112" t="s">
        <v>175</v>
      </c>
      <c r="N112" t="s">
        <v>97</v>
      </c>
      <c r="O112" t="s">
        <v>69</v>
      </c>
      <c r="P112" t="s">
        <v>106</v>
      </c>
      <c r="Q112" t="s">
        <v>118</v>
      </c>
      <c r="R112" t="s">
        <v>176</v>
      </c>
      <c r="S112" t="s">
        <v>61</v>
      </c>
      <c r="U112" t="s">
        <v>53</v>
      </c>
      <c r="V112" t="s">
        <v>53</v>
      </c>
      <c r="W112" t="s">
        <v>54</v>
      </c>
      <c r="X112" s="22">
        <v>8041</v>
      </c>
      <c r="Y112" s="21" t="s">
        <v>55</v>
      </c>
    </row>
    <row r="113" spans="1:25" hidden="1" x14ac:dyDescent="0.25">
      <c r="A113" t="s">
        <v>49</v>
      </c>
      <c r="B113" s="20">
        <v>46116</v>
      </c>
      <c r="C113" s="20">
        <v>46150</v>
      </c>
      <c r="D113" t="s">
        <v>631</v>
      </c>
      <c r="E113" t="s">
        <v>665</v>
      </c>
      <c r="F113" s="21" t="s">
        <v>666</v>
      </c>
      <c r="G113">
        <v>6100295925</v>
      </c>
      <c r="H113" t="s">
        <v>103</v>
      </c>
      <c r="I113" t="s">
        <v>67</v>
      </c>
      <c r="J113" s="56">
        <v>2666.3</v>
      </c>
      <c r="K113" s="56">
        <v>2866.5</v>
      </c>
      <c r="L113">
        <v>4</v>
      </c>
      <c r="M113" t="s">
        <v>104</v>
      </c>
      <c r="N113" t="s">
        <v>105</v>
      </c>
      <c r="O113" t="s">
        <v>56</v>
      </c>
      <c r="P113" t="s">
        <v>106</v>
      </c>
      <c r="Q113" t="s">
        <v>316</v>
      </c>
      <c r="R113" t="s">
        <v>108</v>
      </c>
      <c r="S113" t="s">
        <v>61</v>
      </c>
      <c r="U113" t="s">
        <v>53</v>
      </c>
      <c r="V113" t="s">
        <v>53</v>
      </c>
      <c r="W113" t="s">
        <v>54</v>
      </c>
      <c r="X113" s="22">
        <v>8031</v>
      </c>
      <c r="Y113" s="21" t="s">
        <v>55</v>
      </c>
    </row>
    <row r="114" spans="1:25" hidden="1" x14ac:dyDescent="0.25">
      <c r="A114" t="s">
        <v>60</v>
      </c>
      <c r="B114" s="20">
        <v>46116</v>
      </c>
      <c r="C114" s="20">
        <v>46148</v>
      </c>
      <c r="D114" t="s">
        <v>631</v>
      </c>
      <c r="E114" t="s">
        <v>625</v>
      </c>
      <c r="F114" s="21" t="s">
        <v>626</v>
      </c>
      <c r="G114">
        <v>6100295924</v>
      </c>
      <c r="H114" t="s">
        <v>115</v>
      </c>
      <c r="I114" t="s">
        <v>122</v>
      </c>
      <c r="J114" s="56">
        <v>6806.8</v>
      </c>
      <c r="K114" s="56">
        <v>7514</v>
      </c>
      <c r="L114">
        <v>14</v>
      </c>
      <c r="M114" t="s">
        <v>104</v>
      </c>
      <c r="N114" t="s">
        <v>105</v>
      </c>
      <c r="O114" t="s">
        <v>69</v>
      </c>
      <c r="P114" t="s">
        <v>106</v>
      </c>
      <c r="Q114" t="s">
        <v>118</v>
      </c>
      <c r="R114" t="s">
        <v>123</v>
      </c>
      <c r="S114" t="s">
        <v>61</v>
      </c>
      <c r="U114" t="s">
        <v>53</v>
      </c>
      <c r="V114" t="s">
        <v>53</v>
      </c>
      <c r="W114" t="s">
        <v>54</v>
      </c>
      <c r="X114" s="22">
        <v>8032</v>
      </c>
      <c r="Y114" s="21" t="s">
        <v>55</v>
      </c>
    </row>
    <row r="115" spans="1:25" hidden="1" x14ac:dyDescent="0.25">
      <c r="B115" s="20">
        <v>46116</v>
      </c>
      <c r="C115" s="20">
        <v>46148</v>
      </c>
      <c r="D115" t="s">
        <v>631</v>
      </c>
      <c r="E115" t="s">
        <v>627</v>
      </c>
      <c r="F115" s="21" t="s">
        <v>628</v>
      </c>
      <c r="G115">
        <v>6100295924</v>
      </c>
      <c r="H115" t="s">
        <v>115</v>
      </c>
      <c r="I115" t="s">
        <v>183</v>
      </c>
      <c r="J115" s="56">
        <v>5869.11</v>
      </c>
      <c r="K115" s="56">
        <v>6253.5</v>
      </c>
      <c r="L115">
        <v>11</v>
      </c>
      <c r="M115" t="s">
        <v>104</v>
      </c>
      <c r="N115" t="s">
        <v>105</v>
      </c>
      <c r="O115" t="s">
        <v>184</v>
      </c>
      <c r="P115" t="s">
        <v>106</v>
      </c>
      <c r="Q115" t="s">
        <v>118</v>
      </c>
      <c r="R115" t="s">
        <v>119</v>
      </c>
      <c r="S115" t="s">
        <v>61</v>
      </c>
      <c r="U115" t="s">
        <v>53</v>
      </c>
      <c r="V115" t="s">
        <v>53</v>
      </c>
      <c r="W115" t="s">
        <v>54</v>
      </c>
      <c r="X115" s="22">
        <v>8033</v>
      </c>
      <c r="Y115" s="21" t="s">
        <v>55</v>
      </c>
    </row>
    <row r="116" spans="1:25" hidden="1" x14ac:dyDescent="0.25">
      <c r="B116" s="20">
        <v>46116</v>
      </c>
      <c r="C116" s="20">
        <v>46148</v>
      </c>
      <c r="D116" t="s">
        <v>631</v>
      </c>
      <c r="E116" t="s">
        <v>629</v>
      </c>
      <c r="F116" s="21" t="s">
        <v>630</v>
      </c>
      <c r="G116">
        <v>6100295924</v>
      </c>
      <c r="H116" t="s">
        <v>115</v>
      </c>
      <c r="I116" t="s">
        <v>110</v>
      </c>
      <c r="J116" s="56">
        <v>9359.32</v>
      </c>
      <c r="K116" s="56">
        <v>9868.58</v>
      </c>
      <c r="L116">
        <v>15</v>
      </c>
      <c r="M116" t="s">
        <v>104</v>
      </c>
      <c r="N116" t="s">
        <v>105</v>
      </c>
      <c r="O116" t="s">
        <v>111</v>
      </c>
      <c r="P116" t="s">
        <v>106</v>
      </c>
      <c r="Q116" t="s">
        <v>118</v>
      </c>
      <c r="R116" t="s">
        <v>119</v>
      </c>
      <c r="S116" t="s">
        <v>61</v>
      </c>
      <c r="U116" t="s">
        <v>53</v>
      </c>
      <c r="V116" t="s">
        <v>53</v>
      </c>
      <c r="W116" t="s">
        <v>54</v>
      </c>
      <c r="X116" s="22">
        <v>8034</v>
      </c>
      <c r="Y116" s="21" t="s">
        <v>55</v>
      </c>
    </row>
    <row r="117" spans="1:25" hidden="1" x14ac:dyDescent="0.25">
      <c r="A117" t="s">
        <v>49</v>
      </c>
      <c r="B117" s="20">
        <v>46146</v>
      </c>
      <c r="C117" s="20">
        <v>46148</v>
      </c>
      <c r="D117" t="s">
        <v>638</v>
      </c>
      <c r="E117" t="s">
        <v>632</v>
      </c>
      <c r="F117" s="21" t="s">
        <v>633</v>
      </c>
      <c r="G117">
        <v>6100295926</v>
      </c>
      <c r="H117" t="s">
        <v>222</v>
      </c>
      <c r="I117" t="s">
        <v>240</v>
      </c>
      <c r="J117" s="56">
        <v>12371.11</v>
      </c>
      <c r="K117" s="56">
        <v>13218</v>
      </c>
      <c r="L117">
        <v>20</v>
      </c>
      <c r="M117" t="s">
        <v>216</v>
      </c>
      <c r="N117" t="s">
        <v>148</v>
      </c>
      <c r="O117" t="s">
        <v>241</v>
      </c>
      <c r="P117" t="s">
        <v>106</v>
      </c>
      <c r="Q117" t="s">
        <v>118</v>
      </c>
      <c r="R117" t="s">
        <v>223</v>
      </c>
      <c r="S117" t="s">
        <v>61</v>
      </c>
      <c r="U117" t="s">
        <v>53</v>
      </c>
      <c r="V117" t="s">
        <v>53</v>
      </c>
      <c r="W117" t="s">
        <v>54</v>
      </c>
      <c r="X117" s="22">
        <v>8046</v>
      </c>
      <c r="Y117" s="21" t="s">
        <v>55</v>
      </c>
    </row>
    <row r="118" spans="1:25" hidden="1" x14ac:dyDescent="0.25">
      <c r="B118" s="20">
        <v>46146</v>
      </c>
      <c r="C118" s="20">
        <v>46148</v>
      </c>
      <c r="D118" t="s">
        <v>638</v>
      </c>
      <c r="E118" t="s">
        <v>634</v>
      </c>
      <c r="F118" s="21" t="s">
        <v>635</v>
      </c>
      <c r="G118">
        <v>6100295926</v>
      </c>
      <c r="H118" t="s">
        <v>222</v>
      </c>
      <c r="I118" t="s">
        <v>557</v>
      </c>
      <c r="J118" s="56">
        <v>1443.78</v>
      </c>
      <c r="K118" s="56">
        <v>1516.5</v>
      </c>
      <c r="L118">
        <v>2</v>
      </c>
      <c r="M118" t="s">
        <v>216</v>
      </c>
      <c r="N118" t="s">
        <v>148</v>
      </c>
      <c r="O118" t="s">
        <v>558</v>
      </c>
      <c r="P118" t="s">
        <v>106</v>
      </c>
      <c r="Q118" t="s">
        <v>118</v>
      </c>
      <c r="R118" t="s">
        <v>223</v>
      </c>
      <c r="S118" t="s">
        <v>61</v>
      </c>
      <c r="U118" t="s">
        <v>53</v>
      </c>
      <c r="V118" t="s">
        <v>53</v>
      </c>
      <c r="W118" t="s">
        <v>54</v>
      </c>
      <c r="X118" s="22">
        <v>8047</v>
      </c>
      <c r="Y118" s="21" t="s">
        <v>55</v>
      </c>
    </row>
    <row r="119" spans="1:25" hidden="1" x14ac:dyDescent="0.25">
      <c r="B119" s="20">
        <v>46146</v>
      </c>
      <c r="C119" s="20">
        <v>46148</v>
      </c>
      <c r="D119" t="s">
        <v>638</v>
      </c>
      <c r="E119" t="s">
        <v>636</v>
      </c>
      <c r="F119" s="21" t="s">
        <v>637</v>
      </c>
      <c r="G119">
        <v>6100295926</v>
      </c>
      <c r="H119" t="s">
        <v>222</v>
      </c>
      <c r="I119" t="s">
        <v>122</v>
      </c>
      <c r="J119" s="56">
        <v>9683</v>
      </c>
      <c r="K119" s="56">
        <v>10706</v>
      </c>
      <c r="L119">
        <v>20</v>
      </c>
      <c r="M119" t="s">
        <v>216</v>
      </c>
      <c r="N119" t="s">
        <v>148</v>
      </c>
      <c r="O119" t="s">
        <v>69</v>
      </c>
      <c r="P119" t="s">
        <v>106</v>
      </c>
      <c r="Q119" t="s">
        <v>118</v>
      </c>
      <c r="R119" t="s">
        <v>223</v>
      </c>
      <c r="S119" t="s">
        <v>61</v>
      </c>
      <c r="U119" t="s">
        <v>53</v>
      </c>
      <c r="V119" t="s">
        <v>53</v>
      </c>
      <c r="W119" t="s">
        <v>54</v>
      </c>
      <c r="X119" s="22">
        <v>8048</v>
      </c>
      <c r="Y119" s="21" t="s">
        <v>55</v>
      </c>
    </row>
    <row r="120" spans="1:25" hidden="1" x14ac:dyDescent="0.25">
      <c r="A120" t="s">
        <v>49</v>
      </c>
      <c r="B120" s="20">
        <v>46146</v>
      </c>
      <c r="C120" s="20">
        <v>46147</v>
      </c>
      <c r="D120" t="s">
        <v>645</v>
      </c>
      <c r="E120" t="s">
        <v>667</v>
      </c>
      <c r="F120" s="21">
        <v>80693734</v>
      </c>
      <c r="G120">
        <v>6100295928</v>
      </c>
      <c r="H120" t="s">
        <v>190</v>
      </c>
      <c r="I120" t="s">
        <v>429</v>
      </c>
      <c r="J120">
        <v>613.5</v>
      </c>
      <c r="K120">
        <v>639.5</v>
      </c>
      <c r="L120">
        <v>1</v>
      </c>
      <c r="M120" t="s">
        <v>192</v>
      </c>
      <c r="N120" t="s">
        <v>193</v>
      </c>
      <c r="S120" t="s">
        <v>61</v>
      </c>
      <c r="U120" t="s">
        <v>53</v>
      </c>
      <c r="V120" t="s">
        <v>53</v>
      </c>
      <c r="W120" t="s">
        <v>54</v>
      </c>
      <c r="X120" s="22">
        <v>8038</v>
      </c>
      <c r="Y120" s="21" t="s">
        <v>55</v>
      </c>
    </row>
    <row r="121" spans="1:25" hidden="1" x14ac:dyDescent="0.25">
      <c r="A121" t="s">
        <v>60</v>
      </c>
      <c r="B121" s="20">
        <v>46146</v>
      </c>
      <c r="C121" s="20">
        <v>46148</v>
      </c>
      <c r="D121" t="s">
        <v>645</v>
      </c>
      <c r="E121" t="s">
        <v>639</v>
      </c>
      <c r="F121" s="21" t="s">
        <v>640</v>
      </c>
      <c r="G121">
        <v>6100295927</v>
      </c>
      <c r="H121" t="s">
        <v>222</v>
      </c>
      <c r="I121" t="s">
        <v>344</v>
      </c>
      <c r="J121" s="56">
        <v>9452.64</v>
      </c>
      <c r="K121" s="56">
        <v>10121</v>
      </c>
      <c r="L121">
        <v>19</v>
      </c>
      <c r="M121" t="s">
        <v>216</v>
      </c>
      <c r="N121" t="s">
        <v>148</v>
      </c>
      <c r="O121" t="s">
        <v>345</v>
      </c>
      <c r="P121" t="s">
        <v>106</v>
      </c>
      <c r="Q121" t="s">
        <v>118</v>
      </c>
      <c r="R121" t="s">
        <v>223</v>
      </c>
      <c r="S121" t="s">
        <v>61</v>
      </c>
      <c r="U121" t="s">
        <v>53</v>
      </c>
      <c r="V121" t="s">
        <v>53</v>
      </c>
      <c r="W121" t="s">
        <v>54</v>
      </c>
      <c r="X121" s="22">
        <v>8040</v>
      </c>
      <c r="Y121" s="21" t="s">
        <v>55</v>
      </c>
    </row>
    <row r="122" spans="1:25" hidden="1" x14ac:dyDescent="0.25">
      <c r="B122" s="20">
        <v>46146</v>
      </c>
      <c r="C122" s="20">
        <v>46148</v>
      </c>
      <c r="D122" t="s">
        <v>645</v>
      </c>
      <c r="E122" t="s">
        <v>641</v>
      </c>
      <c r="F122" s="21" t="s">
        <v>642</v>
      </c>
      <c r="G122">
        <v>6100295927</v>
      </c>
      <c r="H122" t="s">
        <v>222</v>
      </c>
      <c r="I122" t="s">
        <v>68</v>
      </c>
      <c r="J122" s="56">
        <v>3956.5</v>
      </c>
      <c r="K122" s="56">
        <v>4290</v>
      </c>
      <c r="L122">
        <v>6</v>
      </c>
      <c r="M122" t="s">
        <v>216</v>
      </c>
      <c r="N122" t="s">
        <v>148</v>
      </c>
      <c r="O122" t="s">
        <v>50</v>
      </c>
      <c r="P122" t="s">
        <v>106</v>
      </c>
      <c r="Q122" t="s">
        <v>118</v>
      </c>
      <c r="R122" t="s">
        <v>223</v>
      </c>
      <c r="S122" t="s">
        <v>61</v>
      </c>
      <c r="U122" t="s">
        <v>53</v>
      </c>
      <c r="V122" t="s">
        <v>53</v>
      </c>
      <c r="W122" t="s">
        <v>54</v>
      </c>
      <c r="X122" s="22">
        <v>8043</v>
      </c>
      <c r="Y122" s="21" t="s">
        <v>55</v>
      </c>
    </row>
    <row r="123" spans="1:25" hidden="1" x14ac:dyDescent="0.25">
      <c r="B123" s="20">
        <v>46146</v>
      </c>
      <c r="C123" s="20">
        <v>46148</v>
      </c>
      <c r="D123" t="s">
        <v>645</v>
      </c>
      <c r="E123" t="s">
        <v>643</v>
      </c>
      <c r="F123" s="21" t="s">
        <v>644</v>
      </c>
      <c r="G123">
        <v>6100295927</v>
      </c>
      <c r="H123" t="s">
        <v>222</v>
      </c>
      <c r="I123" t="s">
        <v>226</v>
      </c>
      <c r="J123" s="56">
        <v>5053.0200000000004</v>
      </c>
      <c r="K123" s="56">
        <v>5357.5</v>
      </c>
      <c r="L123">
        <v>10</v>
      </c>
      <c r="M123" t="s">
        <v>216</v>
      </c>
      <c r="N123" t="s">
        <v>148</v>
      </c>
      <c r="O123" t="s">
        <v>227</v>
      </c>
      <c r="P123" t="s">
        <v>106</v>
      </c>
      <c r="Q123" t="s">
        <v>118</v>
      </c>
      <c r="R123" t="s">
        <v>223</v>
      </c>
      <c r="S123" t="s">
        <v>61</v>
      </c>
      <c r="U123" t="s">
        <v>53</v>
      </c>
      <c r="V123" t="s">
        <v>53</v>
      </c>
      <c r="W123" t="s">
        <v>54</v>
      </c>
      <c r="X123" s="22">
        <v>8044</v>
      </c>
      <c r="Y123" s="21" t="s">
        <v>55</v>
      </c>
    </row>
    <row r="124" spans="1:25" hidden="1" x14ac:dyDescent="0.25">
      <c r="A124" t="s">
        <v>49</v>
      </c>
      <c r="B124" s="20">
        <v>46148</v>
      </c>
      <c r="C124" s="20">
        <v>46150</v>
      </c>
      <c r="D124" t="s">
        <v>658</v>
      </c>
      <c r="E124" t="s">
        <v>646</v>
      </c>
      <c r="F124" s="21" t="s">
        <v>647</v>
      </c>
      <c r="G124">
        <v>6100295929</v>
      </c>
      <c r="H124" t="s">
        <v>145</v>
      </c>
      <c r="I124" t="s">
        <v>68</v>
      </c>
      <c r="J124" s="56">
        <v>3910</v>
      </c>
      <c r="K124" s="56">
        <v>4227</v>
      </c>
      <c r="L124">
        <v>6</v>
      </c>
      <c r="M124" t="s">
        <v>147</v>
      </c>
      <c r="N124" t="s">
        <v>148</v>
      </c>
      <c r="O124" t="s">
        <v>50</v>
      </c>
      <c r="P124" t="s">
        <v>150</v>
      </c>
      <c r="Q124" t="s">
        <v>51</v>
      </c>
      <c r="R124" t="s">
        <v>151</v>
      </c>
      <c r="S124" t="s">
        <v>70</v>
      </c>
      <c r="U124" t="s">
        <v>53</v>
      </c>
      <c r="V124" t="s">
        <v>53</v>
      </c>
      <c r="W124" t="s">
        <v>54</v>
      </c>
      <c r="X124" s="22">
        <v>8051</v>
      </c>
      <c r="Y124" s="21" t="s">
        <v>55</v>
      </c>
    </row>
    <row r="125" spans="1:25" hidden="1" x14ac:dyDescent="0.25">
      <c r="B125" s="20">
        <v>46148</v>
      </c>
      <c r="C125" s="20">
        <v>46150</v>
      </c>
      <c r="D125" t="s">
        <v>658</v>
      </c>
      <c r="E125" t="s">
        <v>648</v>
      </c>
      <c r="F125" s="21" t="s">
        <v>649</v>
      </c>
      <c r="G125">
        <v>6100295929</v>
      </c>
      <c r="H125" t="s">
        <v>145</v>
      </c>
      <c r="I125" t="s">
        <v>650</v>
      </c>
      <c r="J125" s="56">
        <v>3852.88</v>
      </c>
      <c r="K125" s="56">
        <v>4092.5</v>
      </c>
      <c r="L125">
        <v>7</v>
      </c>
      <c r="M125" t="s">
        <v>147</v>
      </c>
      <c r="N125" t="s">
        <v>148</v>
      </c>
      <c r="O125" t="s">
        <v>651</v>
      </c>
      <c r="P125" t="s">
        <v>150</v>
      </c>
      <c r="Q125" t="s">
        <v>51</v>
      </c>
      <c r="R125" t="s">
        <v>151</v>
      </c>
      <c r="S125" t="s">
        <v>70</v>
      </c>
      <c r="U125" t="s">
        <v>53</v>
      </c>
      <c r="V125" t="s">
        <v>53</v>
      </c>
      <c r="W125" t="s">
        <v>54</v>
      </c>
      <c r="X125" s="22">
        <v>8053</v>
      </c>
      <c r="Y125" s="21" t="s">
        <v>55</v>
      </c>
    </row>
    <row r="126" spans="1:25" hidden="1" x14ac:dyDescent="0.25">
      <c r="B126" s="20">
        <v>46148</v>
      </c>
      <c r="C126" s="20">
        <v>46150</v>
      </c>
      <c r="D126" t="s">
        <v>658</v>
      </c>
      <c r="E126" t="s">
        <v>652</v>
      </c>
      <c r="F126" s="21" t="s">
        <v>653</v>
      </c>
      <c r="G126">
        <v>6100295929</v>
      </c>
      <c r="H126" t="s">
        <v>145</v>
      </c>
      <c r="I126" t="s">
        <v>146</v>
      </c>
      <c r="J126" s="56">
        <v>2902.8870000000002</v>
      </c>
      <c r="K126" s="56">
        <v>3034</v>
      </c>
      <c r="L126">
        <v>4</v>
      </c>
      <c r="M126" t="s">
        <v>147</v>
      </c>
      <c r="N126" t="s">
        <v>148</v>
      </c>
      <c r="O126" t="s">
        <v>149</v>
      </c>
      <c r="P126" t="s">
        <v>150</v>
      </c>
      <c r="Q126" t="s">
        <v>51</v>
      </c>
      <c r="R126" t="s">
        <v>151</v>
      </c>
      <c r="S126" t="s">
        <v>70</v>
      </c>
      <c r="U126" t="s">
        <v>53</v>
      </c>
      <c r="V126" t="s">
        <v>53</v>
      </c>
      <c r="W126" t="s">
        <v>54</v>
      </c>
      <c r="X126" s="22">
        <v>8054</v>
      </c>
      <c r="Y126" s="21" t="s">
        <v>55</v>
      </c>
    </row>
    <row r="127" spans="1:25" hidden="1" x14ac:dyDescent="0.25">
      <c r="B127" s="20">
        <v>46148</v>
      </c>
      <c r="C127" s="20">
        <v>46150</v>
      </c>
      <c r="D127" t="s">
        <v>658</v>
      </c>
      <c r="E127" t="s">
        <v>654</v>
      </c>
      <c r="F127" s="21" t="s">
        <v>655</v>
      </c>
      <c r="G127">
        <v>6100295929</v>
      </c>
      <c r="H127" t="s">
        <v>145</v>
      </c>
      <c r="I127" t="s">
        <v>656</v>
      </c>
      <c r="J127" s="56">
        <v>10516.52</v>
      </c>
      <c r="K127" s="56">
        <v>11353.5</v>
      </c>
      <c r="L127">
        <v>22</v>
      </c>
      <c r="M127" t="s">
        <v>147</v>
      </c>
      <c r="N127" t="s">
        <v>148</v>
      </c>
      <c r="O127" t="s">
        <v>657</v>
      </c>
      <c r="P127" t="s">
        <v>150</v>
      </c>
      <c r="Q127" t="s">
        <v>51</v>
      </c>
      <c r="R127" t="s">
        <v>151</v>
      </c>
      <c r="S127" t="s">
        <v>70</v>
      </c>
      <c r="U127" t="s">
        <v>53</v>
      </c>
      <c r="V127" t="s">
        <v>53</v>
      </c>
      <c r="W127" t="s">
        <v>54</v>
      </c>
      <c r="X127" s="22">
        <v>8055</v>
      </c>
      <c r="Y127" s="21" t="s">
        <v>55</v>
      </c>
    </row>
    <row r="128" spans="1:25" hidden="1" x14ac:dyDescent="0.25">
      <c r="B128" s="20">
        <v>46148</v>
      </c>
      <c r="C128" s="20">
        <v>46150</v>
      </c>
      <c r="D128" t="s">
        <v>658</v>
      </c>
      <c r="E128" t="s">
        <v>668</v>
      </c>
      <c r="F128" s="21">
        <v>80694965</v>
      </c>
      <c r="G128">
        <v>6100296314</v>
      </c>
      <c r="H128" t="s">
        <v>145</v>
      </c>
      <c r="I128" t="s">
        <v>68</v>
      </c>
      <c r="J128" s="56">
        <v>1956.5</v>
      </c>
      <c r="K128" s="56">
        <v>2109.5</v>
      </c>
      <c r="L128">
        <v>3</v>
      </c>
      <c r="M128" t="s">
        <v>147</v>
      </c>
      <c r="N128" t="s">
        <v>148</v>
      </c>
      <c r="P128" t="s">
        <v>150</v>
      </c>
      <c r="Q128" t="s">
        <v>51</v>
      </c>
      <c r="S128" t="s">
        <v>70</v>
      </c>
      <c r="U128" t="s">
        <v>53</v>
      </c>
      <c r="V128" t="s">
        <v>53</v>
      </c>
      <c r="W128" t="s">
        <v>54</v>
      </c>
      <c r="X128" s="22">
        <v>8056</v>
      </c>
      <c r="Y128" s="21" t="s">
        <v>55</v>
      </c>
    </row>
    <row r="129" spans="1:25" hidden="1" x14ac:dyDescent="0.25">
      <c r="B129" s="20">
        <v>46148</v>
      </c>
      <c r="C129" s="20">
        <v>46150</v>
      </c>
      <c r="D129" t="s">
        <v>658</v>
      </c>
      <c r="E129" t="s">
        <v>669</v>
      </c>
      <c r="F129" s="21">
        <v>80694967</v>
      </c>
      <c r="G129">
        <v>6100296314</v>
      </c>
      <c r="H129" t="s">
        <v>145</v>
      </c>
      <c r="I129" t="s">
        <v>146</v>
      </c>
      <c r="J129" s="56">
        <v>2168.0520000000001</v>
      </c>
      <c r="K129" s="56">
        <v>2270.5</v>
      </c>
      <c r="L129">
        <v>3</v>
      </c>
      <c r="M129" t="s">
        <v>147</v>
      </c>
      <c r="N129" t="s">
        <v>148</v>
      </c>
      <c r="P129" t="s">
        <v>150</v>
      </c>
      <c r="Q129" t="s">
        <v>51</v>
      </c>
      <c r="S129" t="s">
        <v>70</v>
      </c>
      <c r="U129" t="s">
        <v>53</v>
      </c>
      <c r="V129" t="s">
        <v>53</v>
      </c>
      <c r="W129" t="s">
        <v>54</v>
      </c>
      <c r="X129" s="22">
        <v>8057</v>
      </c>
      <c r="Y129" s="21" t="s">
        <v>55</v>
      </c>
    </row>
    <row r="130" spans="1:25" hidden="1" x14ac:dyDescent="0.25">
      <c r="A130" t="s">
        <v>49</v>
      </c>
      <c r="B130" s="20">
        <v>46148</v>
      </c>
      <c r="C130" s="20">
        <v>46148</v>
      </c>
      <c r="D130" t="s">
        <v>664</v>
      </c>
      <c r="E130" t="s">
        <v>659</v>
      </c>
      <c r="F130" s="21" t="s">
        <v>660</v>
      </c>
      <c r="G130">
        <v>6100297085</v>
      </c>
      <c r="H130" t="s">
        <v>174</v>
      </c>
      <c r="I130" t="s">
        <v>130</v>
      </c>
      <c r="J130">
        <v>1425.24</v>
      </c>
      <c r="K130">
        <v>1522</v>
      </c>
      <c r="L130">
        <v>2</v>
      </c>
      <c r="M130" t="s">
        <v>175</v>
      </c>
      <c r="N130" t="s">
        <v>97</v>
      </c>
      <c r="O130" t="s">
        <v>131</v>
      </c>
      <c r="P130" t="s">
        <v>106</v>
      </c>
      <c r="Q130" t="s">
        <v>118</v>
      </c>
      <c r="R130" t="s">
        <v>176</v>
      </c>
      <c r="S130" t="s">
        <v>61</v>
      </c>
      <c r="T130" t="s">
        <v>276</v>
      </c>
      <c r="U130" t="s">
        <v>53</v>
      </c>
      <c r="V130" t="s">
        <v>53</v>
      </c>
      <c r="W130" t="s">
        <v>54</v>
      </c>
      <c r="X130" s="22">
        <v>8035</v>
      </c>
      <c r="Y130" s="21" t="s">
        <v>55</v>
      </c>
    </row>
    <row r="131" spans="1:25" hidden="1" x14ac:dyDescent="0.25">
      <c r="B131" s="20">
        <v>46148</v>
      </c>
      <c r="C131" s="20">
        <v>46148</v>
      </c>
      <c r="D131" t="s">
        <v>664</v>
      </c>
      <c r="E131" t="s">
        <v>661</v>
      </c>
      <c r="F131" s="21" t="s">
        <v>662</v>
      </c>
      <c r="G131">
        <v>6100297085</v>
      </c>
      <c r="H131" t="s">
        <v>174</v>
      </c>
      <c r="I131" t="s">
        <v>183</v>
      </c>
      <c r="J131" s="56">
        <v>7561.08</v>
      </c>
      <c r="K131" s="56">
        <v>8069</v>
      </c>
      <c r="L131">
        <v>14</v>
      </c>
      <c r="M131" t="s">
        <v>175</v>
      </c>
      <c r="N131" t="s">
        <v>97</v>
      </c>
      <c r="O131" t="s">
        <v>184</v>
      </c>
      <c r="P131" t="s">
        <v>106</v>
      </c>
      <c r="Q131" t="s">
        <v>118</v>
      </c>
      <c r="R131" t="s">
        <v>176</v>
      </c>
      <c r="S131" t="s">
        <v>61</v>
      </c>
      <c r="T131" t="s">
        <v>276</v>
      </c>
      <c r="U131" t="s">
        <v>53</v>
      </c>
      <c r="V131" t="s">
        <v>53</v>
      </c>
      <c r="W131" t="s">
        <v>54</v>
      </c>
      <c r="X131" s="22">
        <v>8036</v>
      </c>
      <c r="Y131" s="21" t="s">
        <v>55</v>
      </c>
    </row>
    <row r="132" spans="1:25" hidden="1" x14ac:dyDescent="0.25">
      <c r="B132" s="20">
        <v>46148</v>
      </c>
      <c r="C132" s="20">
        <v>46148</v>
      </c>
      <c r="D132" t="s">
        <v>664</v>
      </c>
      <c r="E132" t="s">
        <v>663</v>
      </c>
      <c r="F132" s="21">
        <v>80697297</v>
      </c>
      <c r="G132">
        <v>6100297085</v>
      </c>
      <c r="H132" t="s">
        <v>174</v>
      </c>
      <c r="I132" t="s">
        <v>240</v>
      </c>
      <c r="J132" s="56">
        <v>8824.35</v>
      </c>
      <c r="K132">
        <v>9390.5</v>
      </c>
      <c r="L132">
        <v>14</v>
      </c>
      <c r="M132" t="s">
        <v>175</v>
      </c>
      <c r="N132" t="s">
        <v>97</v>
      </c>
      <c r="O132" t="s">
        <v>241</v>
      </c>
      <c r="P132" t="s">
        <v>106</v>
      </c>
      <c r="Q132" t="s">
        <v>118</v>
      </c>
      <c r="S132" t="s">
        <v>61</v>
      </c>
      <c r="T132" t="s">
        <v>276</v>
      </c>
      <c r="U132" t="s">
        <v>53</v>
      </c>
      <c r="V132" t="s">
        <v>53</v>
      </c>
      <c r="W132" t="s">
        <v>54</v>
      </c>
      <c r="X132" s="22">
        <v>8052</v>
      </c>
      <c r="Y132" s="21" t="s">
        <v>55</v>
      </c>
    </row>
    <row r="133" spans="1:25" hidden="1" x14ac:dyDescent="0.25">
      <c r="A133" t="s">
        <v>49</v>
      </c>
      <c r="B133" s="20">
        <v>46149</v>
      </c>
      <c r="C133" s="20">
        <v>46153</v>
      </c>
      <c r="D133" t="s">
        <v>692</v>
      </c>
      <c r="E133" t="s">
        <v>674</v>
      </c>
      <c r="F133" s="21" t="s">
        <v>675</v>
      </c>
      <c r="G133">
        <v>6100297383</v>
      </c>
      <c r="H133" t="s">
        <v>676</v>
      </c>
      <c r="I133" t="s">
        <v>74</v>
      </c>
      <c r="J133" s="56">
        <v>1249</v>
      </c>
      <c r="K133" s="56">
        <v>1301</v>
      </c>
      <c r="L133">
        <v>2</v>
      </c>
      <c r="M133" t="s">
        <v>404</v>
      </c>
      <c r="N133" t="s">
        <v>148</v>
      </c>
      <c r="O133" t="s">
        <v>50</v>
      </c>
      <c r="Q133" t="s">
        <v>405</v>
      </c>
      <c r="R133" t="s">
        <v>406</v>
      </c>
      <c r="S133" t="s">
        <v>87</v>
      </c>
      <c r="U133" t="s">
        <v>53</v>
      </c>
      <c r="V133" t="s">
        <v>53</v>
      </c>
      <c r="W133" t="s">
        <v>54</v>
      </c>
      <c r="X133" s="22">
        <v>8068</v>
      </c>
      <c r="Y133" s="21" t="s">
        <v>55</v>
      </c>
    </row>
    <row r="134" spans="1:25" hidden="1" x14ac:dyDescent="0.25">
      <c r="B134" s="20">
        <v>46149</v>
      </c>
      <c r="C134" s="20">
        <v>46153</v>
      </c>
      <c r="D134" t="s">
        <v>692</v>
      </c>
      <c r="E134" t="s">
        <v>677</v>
      </c>
      <c r="F134" s="21" t="s">
        <v>678</v>
      </c>
      <c r="G134">
        <v>6100297383</v>
      </c>
      <c r="H134" t="s">
        <v>676</v>
      </c>
      <c r="I134" t="s">
        <v>74</v>
      </c>
      <c r="J134" s="56">
        <v>1221.5</v>
      </c>
      <c r="K134" s="56">
        <v>1271.5</v>
      </c>
      <c r="L134">
        <v>2</v>
      </c>
      <c r="M134" t="s">
        <v>404</v>
      </c>
      <c r="N134" t="s">
        <v>148</v>
      </c>
      <c r="O134" t="s">
        <v>50</v>
      </c>
      <c r="Q134" t="s">
        <v>405</v>
      </c>
      <c r="R134" t="s">
        <v>406</v>
      </c>
      <c r="S134" t="s">
        <v>87</v>
      </c>
      <c r="U134" t="s">
        <v>53</v>
      </c>
      <c r="V134" t="s">
        <v>53</v>
      </c>
      <c r="W134" t="s">
        <v>54</v>
      </c>
      <c r="X134" s="22">
        <v>8070</v>
      </c>
      <c r="Y134" s="21" t="s">
        <v>55</v>
      </c>
    </row>
    <row r="135" spans="1:25" hidden="1" x14ac:dyDescent="0.25">
      <c r="B135" s="20">
        <v>46149</v>
      </c>
      <c r="C135" s="20">
        <v>46153</v>
      </c>
      <c r="D135" t="s">
        <v>692</v>
      </c>
      <c r="E135" t="s">
        <v>679</v>
      </c>
      <c r="F135" s="21" t="s">
        <v>680</v>
      </c>
      <c r="G135">
        <v>6100297383</v>
      </c>
      <c r="H135" t="s">
        <v>676</v>
      </c>
      <c r="I135" t="s">
        <v>74</v>
      </c>
      <c r="J135" s="56">
        <v>1220</v>
      </c>
      <c r="K135" s="56">
        <v>1274</v>
      </c>
      <c r="L135">
        <v>2</v>
      </c>
      <c r="M135" t="s">
        <v>404</v>
      </c>
      <c r="N135" t="s">
        <v>148</v>
      </c>
      <c r="O135" t="s">
        <v>50</v>
      </c>
      <c r="Q135" t="s">
        <v>405</v>
      </c>
      <c r="R135" t="s">
        <v>406</v>
      </c>
      <c r="S135" t="s">
        <v>87</v>
      </c>
      <c r="U135" t="s">
        <v>53</v>
      </c>
      <c r="V135" t="s">
        <v>53</v>
      </c>
      <c r="W135" t="s">
        <v>54</v>
      </c>
      <c r="X135" s="22">
        <v>8071</v>
      </c>
      <c r="Y135" s="21" t="s">
        <v>55</v>
      </c>
    </row>
    <row r="136" spans="1:25" hidden="1" x14ac:dyDescent="0.25">
      <c r="A136" t="s">
        <v>60</v>
      </c>
      <c r="B136" s="20">
        <v>46149</v>
      </c>
      <c r="C136" s="20">
        <v>46153</v>
      </c>
      <c r="D136" t="s">
        <v>692</v>
      </c>
      <c r="E136" t="s">
        <v>681</v>
      </c>
      <c r="F136" s="21" t="s">
        <v>682</v>
      </c>
      <c r="G136">
        <v>6100297384</v>
      </c>
      <c r="H136" t="s">
        <v>683</v>
      </c>
      <c r="I136" t="s">
        <v>74</v>
      </c>
      <c r="J136" s="56">
        <v>3082</v>
      </c>
      <c r="K136" s="56">
        <v>3181.5</v>
      </c>
      <c r="L136">
        <v>5</v>
      </c>
      <c r="M136" t="s">
        <v>376</v>
      </c>
      <c r="N136" t="s">
        <v>148</v>
      </c>
      <c r="O136" t="s">
        <v>50</v>
      </c>
      <c r="P136" t="s">
        <v>150</v>
      </c>
      <c r="Q136" t="s">
        <v>684</v>
      </c>
      <c r="R136" t="s">
        <v>685</v>
      </c>
      <c r="S136" t="s">
        <v>87</v>
      </c>
      <c r="U136" t="s">
        <v>53</v>
      </c>
      <c r="V136" t="s">
        <v>53</v>
      </c>
      <c r="W136" t="s">
        <v>54</v>
      </c>
      <c r="X136" s="22">
        <v>8074</v>
      </c>
      <c r="Y136" s="21" t="s">
        <v>55</v>
      </c>
    </row>
    <row r="137" spans="1:25" hidden="1" x14ac:dyDescent="0.25">
      <c r="A137" t="s">
        <v>64</v>
      </c>
      <c r="B137" s="20">
        <v>46149</v>
      </c>
      <c r="C137" s="20">
        <v>46153</v>
      </c>
      <c r="D137" t="s">
        <v>692</v>
      </c>
      <c r="E137" t="s">
        <v>670</v>
      </c>
      <c r="F137" s="21" t="s">
        <v>671</v>
      </c>
      <c r="G137">
        <v>6100297385</v>
      </c>
      <c r="H137" t="s">
        <v>672</v>
      </c>
      <c r="I137" t="s">
        <v>513</v>
      </c>
      <c r="J137" s="56">
        <v>2591.92</v>
      </c>
      <c r="K137" s="56">
        <v>2765</v>
      </c>
      <c r="L137">
        <v>5</v>
      </c>
      <c r="M137" t="s">
        <v>455</v>
      </c>
      <c r="N137" t="s">
        <v>148</v>
      </c>
      <c r="O137" t="s">
        <v>515</v>
      </c>
      <c r="P137" t="s">
        <v>150</v>
      </c>
      <c r="Q137" t="s">
        <v>51</v>
      </c>
      <c r="R137" t="s">
        <v>673</v>
      </c>
      <c r="S137" t="s">
        <v>87</v>
      </c>
      <c r="U137" t="s">
        <v>53</v>
      </c>
      <c r="V137" t="s">
        <v>53</v>
      </c>
      <c r="W137" t="s">
        <v>54</v>
      </c>
      <c r="X137" s="22">
        <v>8061</v>
      </c>
      <c r="Y137" s="21" t="s">
        <v>55</v>
      </c>
    </row>
    <row r="138" spans="1:25" hidden="1" x14ac:dyDescent="0.25">
      <c r="A138" t="s">
        <v>65</v>
      </c>
      <c r="B138" s="20">
        <v>46149</v>
      </c>
      <c r="C138" s="20">
        <v>46154</v>
      </c>
      <c r="D138" t="s">
        <v>692</v>
      </c>
      <c r="E138" t="s">
        <v>686</v>
      </c>
      <c r="F138" s="21" t="s">
        <v>687</v>
      </c>
      <c r="G138">
        <v>6100297386</v>
      </c>
      <c r="H138" t="s">
        <v>688</v>
      </c>
      <c r="I138" t="s">
        <v>67</v>
      </c>
      <c r="J138" s="56">
        <v>3294.5</v>
      </c>
      <c r="K138" s="56">
        <v>3558</v>
      </c>
      <c r="L138">
        <v>5</v>
      </c>
      <c r="M138" t="s">
        <v>689</v>
      </c>
      <c r="N138" t="s">
        <v>148</v>
      </c>
      <c r="O138" t="s">
        <v>56</v>
      </c>
      <c r="P138" t="s">
        <v>150</v>
      </c>
      <c r="Q138" t="s">
        <v>690</v>
      </c>
      <c r="R138" t="s">
        <v>691</v>
      </c>
      <c r="S138" t="s">
        <v>87</v>
      </c>
      <c r="U138" t="s">
        <v>53</v>
      </c>
      <c r="V138" t="s">
        <v>53</v>
      </c>
      <c r="W138" t="s">
        <v>54</v>
      </c>
      <c r="X138" s="22">
        <v>8064</v>
      </c>
      <c r="Y138" s="21" t="s">
        <v>55</v>
      </c>
    </row>
    <row r="139" spans="1:25" hidden="1" x14ac:dyDescent="0.25">
      <c r="A139" t="s">
        <v>49</v>
      </c>
      <c r="B139" s="20">
        <v>46149</v>
      </c>
      <c r="C139" s="20">
        <v>46148</v>
      </c>
      <c r="D139" t="s">
        <v>715</v>
      </c>
      <c r="E139" t="s">
        <v>693</v>
      </c>
      <c r="F139" s="21">
        <v>80697198</v>
      </c>
      <c r="G139">
        <v>6100297387</v>
      </c>
      <c r="H139" t="s">
        <v>462</v>
      </c>
      <c r="I139" t="s">
        <v>67</v>
      </c>
      <c r="J139" s="56">
        <v>4662.8999999999996</v>
      </c>
      <c r="K139" s="56">
        <v>5019</v>
      </c>
      <c r="L139">
        <v>7</v>
      </c>
      <c r="M139" t="s">
        <v>248</v>
      </c>
      <c r="N139" t="s">
        <v>97</v>
      </c>
      <c r="O139" t="s">
        <v>56</v>
      </c>
      <c r="P139" t="s">
        <v>98</v>
      </c>
      <c r="Q139" t="s">
        <v>694</v>
      </c>
      <c r="R139" t="s">
        <v>464</v>
      </c>
      <c r="S139" t="s">
        <v>87</v>
      </c>
      <c r="U139" t="s">
        <v>53</v>
      </c>
      <c r="V139" t="s">
        <v>53</v>
      </c>
      <c r="W139" t="s">
        <v>54</v>
      </c>
      <c r="X139" s="22">
        <v>8069</v>
      </c>
      <c r="Y139" s="21" t="s">
        <v>55</v>
      </c>
    </row>
    <row r="140" spans="1:25" hidden="1" x14ac:dyDescent="0.25">
      <c r="A140" t="s">
        <v>60</v>
      </c>
      <c r="B140" s="20">
        <v>46149</v>
      </c>
      <c r="C140" s="20">
        <v>46148</v>
      </c>
      <c r="D140" t="s">
        <v>715</v>
      </c>
      <c r="E140" t="s">
        <v>695</v>
      </c>
      <c r="F140" s="21" t="s">
        <v>719</v>
      </c>
      <c r="G140">
        <v>6100297388</v>
      </c>
      <c r="H140" t="s">
        <v>696</v>
      </c>
      <c r="I140" t="s">
        <v>74</v>
      </c>
      <c r="J140" s="56">
        <v>5483</v>
      </c>
      <c r="K140" s="56">
        <v>5726.5</v>
      </c>
      <c r="L140">
        <v>9</v>
      </c>
      <c r="M140" t="s">
        <v>700</v>
      </c>
      <c r="N140" t="s">
        <v>97</v>
      </c>
      <c r="O140" t="s">
        <v>50</v>
      </c>
      <c r="P140" t="s">
        <v>150</v>
      </c>
      <c r="Q140" t="s">
        <v>94</v>
      </c>
      <c r="R140" t="s">
        <v>720</v>
      </c>
      <c r="S140" t="s">
        <v>87</v>
      </c>
      <c r="U140" t="s">
        <v>53</v>
      </c>
      <c r="V140" t="s">
        <v>53</v>
      </c>
      <c r="W140" t="s">
        <v>54</v>
      </c>
      <c r="X140" s="22">
        <v>8072</v>
      </c>
      <c r="Y140" s="21" t="s">
        <v>55</v>
      </c>
    </row>
    <row r="141" spans="1:25" hidden="1" x14ac:dyDescent="0.25">
      <c r="A141" t="s">
        <v>64</v>
      </c>
      <c r="B141" s="20">
        <v>46149</v>
      </c>
      <c r="C141" s="20">
        <v>46149</v>
      </c>
      <c r="D141" t="s">
        <v>715</v>
      </c>
      <c r="E141" t="s">
        <v>697</v>
      </c>
      <c r="F141" s="21" t="s">
        <v>698</v>
      </c>
      <c r="G141">
        <v>6100297389</v>
      </c>
      <c r="H141" t="s">
        <v>699</v>
      </c>
      <c r="I141" t="s">
        <v>73</v>
      </c>
      <c r="J141" s="56">
        <v>5210</v>
      </c>
      <c r="K141" s="56">
        <v>5644.5</v>
      </c>
      <c r="L141">
        <v>8</v>
      </c>
      <c r="M141" t="s">
        <v>700</v>
      </c>
      <c r="N141" t="s">
        <v>97</v>
      </c>
      <c r="O141" t="s">
        <v>50</v>
      </c>
      <c r="P141" t="s">
        <v>150</v>
      </c>
      <c r="Q141" t="s">
        <v>701</v>
      </c>
      <c r="R141" t="s">
        <v>702</v>
      </c>
      <c r="S141" t="s">
        <v>87</v>
      </c>
      <c r="U141" t="s">
        <v>53</v>
      </c>
      <c r="V141" t="s">
        <v>53</v>
      </c>
      <c r="W141" t="s">
        <v>54</v>
      </c>
      <c r="X141" s="22">
        <v>8073</v>
      </c>
      <c r="Y141" s="21" t="s">
        <v>55</v>
      </c>
    </row>
    <row r="142" spans="1:25" hidden="1" x14ac:dyDescent="0.25">
      <c r="A142" t="s">
        <v>49</v>
      </c>
      <c r="B142" s="20">
        <v>46149</v>
      </c>
      <c r="C142" s="20">
        <v>46150</v>
      </c>
      <c r="D142" t="s">
        <v>718</v>
      </c>
      <c r="E142" t="s">
        <v>703</v>
      </c>
      <c r="F142" s="21" t="s">
        <v>704</v>
      </c>
      <c r="G142">
        <v>6100297390</v>
      </c>
      <c r="H142" t="s">
        <v>705</v>
      </c>
      <c r="I142" t="s">
        <v>74</v>
      </c>
      <c r="J142" s="56">
        <v>3650.5</v>
      </c>
      <c r="K142" s="56">
        <v>3804.5</v>
      </c>
      <c r="L142">
        <v>6</v>
      </c>
      <c r="M142" t="s">
        <v>706</v>
      </c>
      <c r="N142" t="s">
        <v>209</v>
      </c>
      <c r="O142" t="s">
        <v>50</v>
      </c>
      <c r="P142" t="s">
        <v>150</v>
      </c>
      <c r="Q142" t="s">
        <v>707</v>
      </c>
      <c r="R142" t="s">
        <v>708</v>
      </c>
      <c r="S142" t="s">
        <v>63</v>
      </c>
      <c r="U142" t="s">
        <v>53</v>
      </c>
      <c r="V142" t="s">
        <v>53</v>
      </c>
      <c r="W142" t="s">
        <v>54</v>
      </c>
      <c r="X142" s="22">
        <v>8059</v>
      </c>
      <c r="Y142" s="21" t="s">
        <v>55</v>
      </c>
    </row>
    <row r="143" spans="1:25" hidden="1" x14ac:dyDescent="0.25">
      <c r="A143" t="s">
        <v>60</v>
      </c>
      <c r="B143" s="20">
        <v>46149</v>
      </c>
      <c r="C143" s="20">
        <v>46150</v>
      </c>
      <c r="D143" t="s">
        <v>718</v>
      </c>
      <c r="E143" t="s">
        <v>709</v>
      </c>
      <c r="F143" s="21" t="s">
        <v>710</v>
      </c>
      <c r="G143">
        <v>6100297391</v>
      </c>
      <c r="H143" t="s">
        <v>711</v>
      </c>
      <c r="I143" t="s">
        <v>73</v>
      </c>
      <c r="J143" s="56">
        <v>3261.5</v>
      </c>
      <c r="K143" s="56">
        <v>3535.5</v>
      </c>
      <c r="L143">
        <v>5</v>
      </c>
      <c r="M143" t="s">
        <v>712</v>
      </c>
      <c r="N143" t="s">
        <v>209</v>
      </c>
      <c r="O143" t="s">
        <v>50</v>
      </c>
      <c r="P143" t="s">
        <v>150</v>
      </c>
      <c r="Q143" t="s">
        <v>713</v>
      </c>
      <c r="R143" t="s">
        <v>714</v>
      </c>
      <c r="S143" t="s">
        <v>63</v>
      </c>
      <c r="U143" t="s">
        <v>53</v>
      </c>
      <c r="V143" t="s">
        <v>53</v>
      </c>
      <c r="W143" t="s">
        <v>54</v>
      </c>
      <c r="X143" s="22">
        <v>8062</v>
      </c>
      <c r="Y143" s="21" t="s">
        <v>55</v>
      </c>
    </row>
    <row r="144" spans="1:25" hidden="1" x14ac:dyDescent="0.25">
      <c r="B144" s="20">
        <v>46149</v>
      </c>
      <c r="C144" s="20">
        <v>46150</v>
      </c>
      <c r="D144" t="s">
        <v>718</v>
      </c>
      <c r="E144" t="s">
        <v>721</v>
      </c>
      <c r="F144" s="21" t="s">
        <v>722</v>
      </c>
      <c r="G144">
        <v>6100297391</v>
      </c>
      <c r="H144" t="s">
        <v>711</v>
      </c>
      <c r="I144" t="s">
        <v>73</v>
      </c>
      <c r="J144" s="56">
        <v>3255.5</v>
      </c>
      <c r="K144" s="56">
        <v>3533</v>
      </c>
      <c r="L144">
        <v>5</v>
      </c>
      <c r="M144" t="s">
        <v>712</v>
      </c>
      <c r="N144" t="s">
        <v>209</v>
      </c>
      <c r="O144" t="s">
        <v>50</v>
      </c>
      <c r="P144" t="s">
        <v>150</v>
      </c>
      <c r="Q144" t="s">
        <v>723</v>
      </c>
      <c r="R144" t="s">
        <v>714</v>
      </c>
      <c r="S144" t="s">
        <v>63</v>
      </c>
      <c r="U144" t="s">
        <v>53</v>
      </c>
      <c r="V144" t="s">
        <v>53</v>
      </c>
      <c r="W144" t="s">
        <v>54</v>
      </c>
      <c r="X144" s="22">
        <v>8065</v>
      </c>
      <c r="Y144" s="21" t="s">
        <v>55</v>
      </c>
    </row>
    <row r="145" spans="1:25" hidden="1" x14ac:dyDescent="0.25">
      <c r="A145" t="s">
        <v>49</v>
      </c>
      <c r="B145" s="20">
        <v>46148</v>
      </c>
      <c r="C145" s="20">
        <v>46150</v>
      </c>
      <c r="D145" t="s">
        <v>724</v>
      </c>
      <c r="E145" t="s">
        <v>716</v>
      </c>
      <c r="F145" s="21" t="s">
        <v>717</v>
      </c>
      <c r="G145">
        <v>6100297392</v>
      </c>
      <c r="H145" t="s">
        <v>383</v>
      </c>
      <c r="I145" t="s">
        <v>74</v>
      </c>
      <c r="J145" s="56">
        <v>8560.5</v>
      </c>
      <c r="K145" s="56">
        <v>8939</v>
      </c>
      <c r="L145">
        <v>14</v>
      </c>
      <c r="M145" t="s">
        <v>294</v>
      </c>
      <c r="N145" t="s">
        <v>295</v>
      </c>
      <c r="O145" t="s">
        <v>50</v>
      </c>
      <c r="P145" t="s">
        <v>150</v>
      </c>
      <c r="Q145" t="s">
        <v>51</v>
      </c>
      <c r="R145" t="s">
        <v>384</v>
      </c>
      <c r="S145" t="s">
        <v>63</v>
      </c>
      <c r="T145" t="s">
        <v>258</v>
      </c>
      <c r="U145" t="s">
        <v>53</v>
      </c>
      <c r="V145" t="s">
        <v>53</v>
      </c>
      <c r="W145" t="s">
        <v>54</v>
      </c>
      <c r="X145" s="22">
        <v>8058</v>
      </c>
      <c r="Y145" s="21" t="s">
        <v>55</v>
      </c>
    </row>
    <row r="146" spans="1:25" hidden="1" x14ac:dyDescent="0.25">
      <c r="A146" t="s">
        <v>49</v>
      </c>
      <c r="B146" s="20">
        <v>46150</v>
      </c>
      <c r="C146" s="20">
        <v>46153</v>
      </c>
      <c r="D146" t="s">
        <v>740</v>
      </c>
      <c r="E146" t="s">
        <v>725</v>
      </c>
      <c r="F146" s="21" t="s">
        <v>726</v>
      </c>
      <c r="G146">
        <v>6100297395</v>
      </c>
      <c r="H146" t="s">
        <v>741</v>
      </c>
      <c r="I146" t="s">
        <v>429</v>
      </c>
      <c r="J146">
        <v>3053</v>
      </c>
      <c r="K146">
        <v>3189</v>
      </c>
      <c r="L146">
        <v>5</v>
      </c>
      <c r="M146" t="s">
        <v>727</v>
      </c>
      <c r="N146" t="s">
        <v>138</v>
      </c>
      <c r="O146" t="s">
        <v>56</v>
      </c>
      <c r="Q146" t="s">
        <v>728</v>
      </c>
      <c r="R146" t="s">
        <v>729</v>
      </c>
      <c r="U146" t="s">
        <v>53</v>
      </c>
      <c r="V146" t="s">
        <v>53</v>
      </c>
      <c r="W146" t="s">
        <v>54</v>
      </c>
      <c r="X146" s="22">
        <v>8060</v>
      </c>
      <c r="Y146" s="21" t="s">
        <v>55</v>
      </c>
    </row>
    <row r="147" spans="1:25" hidden="1" x14ac:dyDescent="0.25">
      <c r="B147" s="20">
        <v>46150</v>
      </c>
      <c r="C147" s="20">
        <v>46153</v>
      </c>
      <c r="D147" t="s">
        <v>740</v>
      </c>
      <c r="E147" t="s">
        <v>730</v>
      </c>
      <c r="F147" s="21" t="s">
        <v>731</v>
      </c>
      <c r="G147">
        <v>6100297395</v>
      </c>
      <c r="H147" t="s">
        <v>741</v>
      </c>
      <c r="I147" t="s">
        <v>67</v>
      </c>
      <c r="J147" s="56">
        <v>9905</v>
      </c>
      <c r="K147" s="56">
        <v>10675.5</v>
      </c>
      <c r="L147">
        <v>15</v>
      </c>
      <c r="M147" t="s">
        <v>727</v>
      </c>
      <c r="N147" t="s">
        <v>138</v>
      </c>
      <c r="O147" t="s">
        <v>56</v>
      </c>
      <c r="Q147" t="s">
        <v>732</v>
      </c>
      <c r="R147" t="s">
        <v>729</v>
      </c>
      <c r="U147" t="s">
        <v>53</v>
      </c>
      <c r="V147" t="s">
        <v>53</v>
      </c>
      <c r="W147" t="s">
        <v>54</v>
      </c>
      <c r="X147" s="22">
        <v>8063</v>
      </c>
      <c r="Y147" s="21" t="s">
        <v>55</v>
      </c>
    </row>
    <row r="148" spans="1:25" hidden="1" x14ac:dyDescent="0.25">
      <c r="A148" t="s">
        <v>60</v>
      </c>
      <c r="B148" s="20">
        <v>46150</v>
      </c>
      <c r="C148" s="20">
        <v>46153</v>
      </c>
      <c r="D148" t="s">
        <v>740</v>
      </c>
      <c r="E148" t="s">
        <v>733</v>
      </c>
      <c r="F148" s="21" t="s">
        <v>734</v>
      </c>
      <c r="G148">
        <v>6100297396</v>
      </c>
      <c r="H148" t="s">
        <v>735</v>
      </c>
      <c r="I148" t="s">
        <v>74</v>
      </c>
      <c r="J148" s="56">
        <v>3643.5</v>
      </c>
      <c r="K148" s="56">
        <v>3793.5</v>
      </c>
      <c r="L148">
        <v>6</v>
      </c>
      <c r="M148" t="s">
        <v>727</v>
      </c>
      <c r="N148" t="s">
        <v>138</v>
      </c>
      <c r="O148" t="s">
        <v>50</v>
      </c>
      <c r="P148" t="s">
        <v>150</v>
      </c>
      <c r="Q148" t="s">
        <v>736</v>
      </c>
      <c r="R148" t="s">
        <v>737</v>
      </c>
      <c r="U148" t="s">
        <v>53</v>
      </c>
      <c r="V148" t="s">
        <v>53</v>
      </c>
      <c r="W148" t="s">
        <v>54</v>
      </c>
      <c r="X148" s="22">
        <v>8066</v>
      </c>
      <c r="Y148" s="21" t="s">
        <v>55</v>
      </c>
    </row>
    <row r="149" spans="1:25" hidden="1" x14ac:dyDescent="0.25">
      <c r="A149" t="s">
        <v>64</v>
      </c>
      <c r="B149" s="20">
        <v>46150</v>
      </c>
      <c r="C149" s="20">
        <v>46153</v>
      </c>
      <c r="D149" t="s">
        <v>740</v>
      </c>
      <c r="E149" t="s">
        <v>738</v>
      </c>
      <c r="F149" s="21" t="s">
        <v>739</v>
      </c>
      <c r="G149">
        <v>6100297397</v>
      </c>
      <c r="H149" t="s">
        <v>135</v>
      </c>
      <c r="I149" t="s">
        <v>73</v>
      </c>
      <c r="J149" s="56">
        <v>3229</v>
      </c>
      <c r="K149" s="56">
        <v>3509</v>
      </c>
      <c r="L149">
        <v>5</v>
      </c>
      <c r="M149" t="s">
        <v>137</v>
      </c>
      <c r="N149" t="s">
        <v>138</v>
      </c>
      <c r="O149" t="s">
        <v>50</v>
      </c>
      <c r="P149" t="s">
        <v>98</v>
      </c>
      <c r="Q149" t="s">
        <v>51</v>
      </c>
      <c r="R149" t="s">
        <v>140</v>
      </c>
      <c r="U149" t="s">
        <v>53</v>
      </c>
      <c r="V149" t="s">
        <v>53</v>
      </c>
      <c r="W149" t="s">
        <v>54</v>
      </c>
      <c r="X149" s="22">
        <v>8067</v>
      </c>
      <c r="Y149" s="21" t="s">
        <v>55</v>
      </c>
    </row>
    <row r="150" spans="1:25" hidden="1" x14ac:dyDescent="0.25">
      <c r="A150" t="s">
        <v>49</v>
      </c>
      <c r="B150" s="20">
        <v>46153</v>
      </c>
      <c r="C150" s="20">
        <v>46154</v>
      </c>
      <c r="D150" t="s">
        <v>751</v>
      </c>
      <c r="E150" t="s">
        <v>742</v>
      </c>
      <c r="F150" s="21" t="s">
        <v>743</v>
      </c>
      <c r="G150">
        <v>6100297911</v>
      </c>
      <c r="H150" t="s">
        <v>103</v>
      </c>
      <c r="I150" t="s">
        <v>110</v>
      </c>
      <c r="J150" s="56">
        <v>12528.8</v>
      </c>
      <c r="K150" s="56">
        <v>13259.79</v>
      </c>
      <c r="L150">
        <v>20</v>
      </c>
      <c r="M150" t="s">
        <v>104</v>
      </c>
      <c r="N150" t="s">
        <v>105</v>
      </c>
      <c r="O150" t="s">
        <v>111</v>
      </c>
      <c r="P150" t="s">
        <v>106</v>
      </c>
      <c r="Q150" t="s">
        <v>316</v>
      </c>
      <c r="R150" t="s">
        <v>108</v>
      </c>
      <c r="S150" t="s">
        <v>61</v>
      </c>
      <c r="U150" t="s">
        <v>53</v>
      </c>
      <c r="V150" t="s">
        <v>53</v>
      </c>
      <c r="W150" t="s">
        <v>54</v>
      </c>
      <c r="X150" s="22">
        <v>8083</v>
      </c>
      <c r="Y150" s="21" t="s">
        <v>55</v>
      </c>
    </row>
    <row r="151" spans="1:25" hidden="1" x14ac:dyDescent="0.25">
      <c r="A151" t="s">
        <v>60</v>
      </c>
      <c r="B151" s="20">
        <v>46153</v>
      </c>
      <c r="C151" s="20">
        <v>46154</v>
      </c>
      <c r="D151" t="s">
        <v>751</v>
      </c>
      <c r="E151" t="s">
        <v>744</v>
      </c>
      <c r="F151" s="21" t="s">
        <v>745</v>
      </c>
      <c r="G151">
        <v>6100297912</v>
      </c>
      <c r="H151" t="s">
        <v>115</v>
      </c>
      <c r="I151" t="s">
        <v>130</v>
      </c>
      <c r="J151" s="56">
        <v>2279.2600000000002</v>
      </c>
      <c r="K151" s="56">
        <v>2424.5</v>
      </c>
      <c r="L151">
        <v>3</v>
      </c>
      <c r="M151" t="s">
        <v>104</v>
      </c>
      <c r="N151" t="s">
        <v>105</v>
      </c>
      <c r="O151" t="s">
        <v>131</v>
      </c>
      <c r="P151" t="s">
        <v>106</v>
      </c>
      <c r="Q151" t="s">
        <v>118</v>
      </c>
      <c r="R151" t="s">
        <v>119</v>
      </c>
      <c r="S151" t="s">
        <v>61</v>
      </c>
      <c r="U151" t="s">
        <v>53</v>
      </c>
      <c r="V151" t="s">
        <v>53</v>
      </c>
      <c r="W151" t="s">
        <v>54</v>
      </c>
      <c r="X151" s="22">
        <v>8085</v>
      </c>
      <c r="Y151" s="21" t="s">
        <v>55</v>
      </c>
    </row>
    <row r="152" spans="1:25" hidden="1" x14ac:dyDescent="0.25">
      <c r="B152" s="20">
        <v>46153</v>
      </c>
      <c r="C152" s="20">
        <v>46154</v>
      </c>
      <c r="D152" t="s">
        <v>751</v>
      </c>
      <c r="E152" t="s">
        <v>749</v>
      </c>
      <c r="F152" s="21" t="s">
        <v>750</v>
      </c>
      <c r="G152">
        <v>6100297912</v>
      </c>
      <c r="H152" t="s">
        <v>115</v>
      </c>
      <c r="I152" t="s">
        <v>130</v>
      </c>
      <c r="J152" s="56">
        <v>7991.2</v>
      </c>
      <c r="K152" s="56">
        <v>8506</v>
      </c>
      <c r="L152">
        <v>11</v>
      </c>
      <c r="M152" t="s">
        <v>104</v>
      </c>
      <c r="N152" t="s">
        <v>105</v>
      </c>
      <c r="O152" t="s">
        <v>131</v>
      </c>
      <c r="P152" t="s">
        <v>106</v>
      </c>
      <c r="Q152" t="s">
        <v>118</v>
      </c>
      <c r="R152" t="s">
        <v>119</v>
      </c>
      <c r="S152" t="s">
        <v>61</v>
      </c>
      <c r="U152" t="s">
        <v>53</v>
      </c>
      <c r="V152" t="s">
        <v>53</v>
      </c>
      <c r="W152" t="s">
        <v>54</v>
      </c>
      <c r="X152" s="22">
        <v>8087</v>
      </c>
      <c r="Y152" s="21" t="s">
        <v>55</v>
      </c>
    </row>
    <row r="153" spans="1:25" hidden="1" x14ac:dyDescent="0.25">
      <c r="A153" t="s">
        <v>49</v>
      </c>
      <c r="B153" s="20">
        <v>46153</v>
      </c>
      <c r="C153" s="20">
        <v>46154</v>
      </c>
      <c r="D153" t="s">
        <v>752</v>
      </c>
      <c r="E153" t="s">
        <v>746</v>
      </c>
      <c r="F153" s="21" t="s">
        <v>747</v>
      </c>
      <c r="G153">
        <v>6100297913</v>
      </c>
      <c r="H153" t="s">
        <v>115</v>
      </c>
      <c r="I153" t="s">
        <v>240</v>
      </c>
      <c r="J153" s="56">
        <v>9596.94</v>
      </c>
      <c r="K153" s="56">
        <v>10243</v>
      </c>
      <c r="L153">
        <v>16</v>
      </c>
      <c r="M153" t="s">
        <v>104</v>
      </c>
      <c r="N153" t="s">
        <v>105</v>
      </c>
      <c r="O153" t="s">
        <v>241</v>
      </c>
      <c r="P153" t="s">
        <v>106</v>
      </c>
      <c r="Q153" t="s">
        <v>748</v>
      </c>
      <c r="R153" t="s">
        <v>123</v>
      </c>
      <c r="S153" t="s">
        <v>63</v>
      </c>
      <c r="T153" t="s">
        <v>276</v>
      </c>
      <c r="U153" t="s">
        <v>53</v>
      </c>
      <c r="V153" t="s">
        <v>53</v>
      </c>
      <c r="W153" t="s">
        <v>54</v>
      </c>
      <c r="X153" s="22">
        <v>8084</v>
      </c>
      <c r="Y153" s="21" t="s">
        <v>55</v>
      </c>
    </row>
    <row r="154" spans="1:25" hidden="1" x14ac:dyDescent="0.25">
      <c r="A154" t="s">
        <v>49</v>
      </c>
      <c r="B154" s="20">
        <v>46154</v>
      </c>
      <c r="C154" s="20">
        <v>46155</v>
      </c>
      <c r="D154" t="s">
        <v>764</v>
      </c>
      <c r="E154" t="s">
        <v>753</v>
      </c>
      <c r="F154" s="21" t="s">
        <v>754</v>
      </c>
      <c r="G154">
        <v>6100298324</v>
      </c>
      <c r="H154" t="s">
        <v>755</v>
      </c>
      <c r="I154" t="s">
        <v>74</v>
      </c>
      <c r="J154" s="56">
        <v>1248.5</v>
      </c>
      <c r="K154" s="56">
        <v>1299.5</v>
      </c>
      <c r="L154">
        <v>2</v>
      </c>
      <c r="M154" t="s">
        <v>404</v>
      </c>
      <c r="N154" t="s">
        <v>148</v>
      </c>
      <c r="O154" t="s">
        <v>50</v>
      </c>
      <c r="Q154" t="s">
        <v>405</v>
      </c>
      <c r="R154" t="s">
        <v>406</v>
      </c>
      <c r="S154" t="s">
        <v>61</v>
      </c>
      <c r="U154" t="s">
        <v>53</v>
      </c>
      <c r="V154" t="s">
        <v>53</v>
      </c>
      <c r="W154" t="s">
        <v>54</v>
      </c>
      <c r="X154" s="22">
        <v>8090</v>
      </c>
      <c r="Y154" s="21" t="s">
        <v>55</v>
      </c>
    </row>
    <row r="155" spans="1:25" hidden="1" x14ac:dyDescent="0.25">
      <c r="B155" s="20">
        <v>46154</v>
      </c>
      <c r="C155" s="20">
        <v>46155</v>
      </c>
      <c r="D155" t="s">
        <v>764</v>
      </c>
      <c r="E155" t="s">
        <v>756</v>
      </c>
      <c r="F155" s="21" t="s">
        <v>757</v>
      </c>
      <c r="G155">
        <v>6100298324</v>
      </c>
      <c r="H155" t="s">
        <v>755</v>
      </c>
      <c r="I155" t="s">
        <v>74</v>
      </c>
      <c r="J155" s="56">
        <v>1880.5</v>
      </c>
      <c r="K155" s="56">
        <v>1951</v>
      </c>
      <c r="L155">
        <v>3</v>
      </c>
      <c r="M155" t="s">
        <v>404</v>
      </c>
      <c r="N155" t="s">
        <v>148</v>
      </c>
      <c r="O155" t="s">
        <v>50</v>
      </c>
      <c r="Q155" t="s">
        <v>405</v>
      </c>
      <c r="R155" t="s">
        <v>406</v>
      </c>
      <c r="S155" t="s">
        <v>61</v>
      </c>
      <c r="U155" t="s">
        <v>53</v>
      </c>
      <c r="V155" t="s">
        <v>53</v>
      </c>
      <c r="W155" t="s">
        <v>54</v>
      </c>
      <c r="X155" s="22">
        <v>8091</v>
      </c>
      <c r="Y155" s="21" t="s">
        <v>55</v>
      </c>
    </row>
    <row r="156" spans="1:25" hidden="1" x14ac:dyDescent="0.25">
      <c r="A156" t="s">
        <v>60</v>
      </c>
      <c r="B156" s="20">
        <v>46154</v>
      </c>
      <c r="C156" s="20">
        <v>46155</v>
      </c>
      <c r="D156" t="s">
        <v>764</v>
      </c>
      <c r="E156" t="s">
        <v>758</v>
      </c>
      <c r="F156" s="21" t="s">
        <v>759</v>
      </c>
      <c r="G156">
        <v>6100298325</v>
      </c>
      <c r="H156" t="s">
        <v>222</v>
      </c>
      <c r="I156" t="s">
        <v>68</v>
      </c>
      <c r="J156" s="56">
        <v>3891</v>
      </c>
      <c r="K156" s="56">
        <v>4225</v>
      </c>
      <c r="L156">
        <v>6</v>
      </c>
      <c r="M156" t="s">
        <v>216</v>
      </c>
      <c r="N156" t="s">
        <v>148</v>
      </c>
      <c r="O156" t="s">
        <v>50</v>
      </c>
      <c r="P156" t="s">
        <v>106</v>
      </c>
      <c r="Q156" t="s">
        <v>118</v>
      </c>
      <c r="R156" t="s">
        <v>223</v>
      </c>
      <c r="S156" t="s">
        <v>61</v>
      </c>
      <c r="U156" t="s">
        <v>53</v>
      </c>
      <c r="V156" t="s">
        <v>53</v>
      </c>
      <c r="W156" t="s">
        <v>54</v>
      </c>
      <c r="X156" s="22">
        <v>8086</v>
      </c>
      <c r="Y156" s="21" t="s">
        <v>55</v>
      </c>
    </row>
    <row r="157" spans="1:25" hidden="1" x14ac:dyDescent="0.25">
      <c r="B157" s="20">
        <v>46154</v>
      </c>
      <c r="C157" s="20">
        <v>46155</v>
      </c>
      <c r="D157" t="s">
        <v>764</v>
      </c>
      <c r="E157" t="s">
        <v>760</v>
      </c>
      <c r="F157" s="21" t="s">
        <v>761</v>
      </c>
      <c r="G157">
        <v>6100298325</v>
      </c>
      <c r="H157" t="s">
        <v>222</v>
      </c>
      <c r="I157" t="s">
        <v>344</v>
      </c>
      <c r="J157" s="56">
        <v>7435.94</v>
      </c>
      <c r="K157" s="56">
        <v>7967</v>
      </c>
      <c r="L157">
        <v>15</v>
      </c>
      <c r="M157" t="s">
        <v>216</v>
      </c>
      <c r="N157" t="s">
        <v>148</v>
      </c>
      <c r="O157" t="s">
        <v>345</v>
      </c>
      <c r="P157" t="s">
        <v>106</v>
      </c>
      <c r="Q157" t="s">
        <v>118</v>
      </c>
      <c r="R157" t="s">
        <v>223</v>
      </c>
      <c r="S157" t="s">
        <v>61</v>
      </c>
      <c r="U157" t="s">
        <v>53</v>
      </c>
      <c r="V157" t="s">
        <v>53</v>
      </c>
      <c r="W157" t="s">
        <v>54</v>
      </c>
      <c r="X157" s="22">
        <v>8088</v>
      </c>
      <c r="Y157" s="21" t="s">
        <v>55</v>
      </c>
    </row>
    <row r="158" spans="1:25" hidden="1" x14ac:dyDescent="0.25">
      <c r="B158" s="20">
        <v>46154</v>
      </c>
      <c r="C158" s="20">
        <v>46155</v>
      </c>
      <c r="D158" t="s">
        <v>764</v>
      </c>
      <c r="E158" t="s">
        <v>762</v>
      </c>
      <c r="F158" s="21" t="s">
        <v>763</v>
      </c>
      <c r="G158">
        <v>6100298325</v>
      </c>
      <c r="H158" t="s">
        <v>222</v>
      </c>
      <c r="I158" t="s">
        <v>240</v>
      </c>
      <c r="J158" s="56">
        <v>10162.59</v>
      </c>
      <c r="K158" s="56">
        <v>10824</v>
      </c>
      <c r="L158">
        <v>16</v>
      </c>
      <c r="M158" t="s">
        <v>216</v>
      </c>
      <c r="N158" t="s">
        <v>148</v>
      </c>
      <c r="O158" t="s">
        <v>241</v>
      </c>
      <c r="P158" t="s">
        <v>106</v>
      </c>
      <c r="Q158" t="s">
        <v>118</v>
      </c>
      <c r="R158" t="s">
        <v>223</v>
      </c>
      <c r="S158" t="s">
        <v>61</v>
      </c>
      <c r="U158" t="s">
        <v>53</v>
      </c>
      <c r="V158" t="s">
        <v>53</v>
      </c>
      <c r="W158" t="s">
        <v>54</v>
      </c>
      <c r="X158" s="22">
        <v>8089</v>
      </c>
      <c r="Y158" s="21" t="s">
        <v>55</v>
      </c>
    </row>
    <row r="159" spans="1:25" hidden="1" x14ac:dyDescent="0.25">
      <c r="A159" t="s">
        <v>49</v>
      </c>
      <c r="B159" s="20">
        <v>46154</v>
      </c>
      <c r="C159" s="20">
        <v>46155</v>
      </c>
      <c r="D159" t="s">
        <v>780</v>
      </c>
      <c r="E159" t="s">
        <v>765</v>
      </c>
      <c r="F159" s="21">
        <v>80700009</v>
      </c>
      <c r="G159">
        <v>6100298625</v>
      </c>
      <c r="H159" t="s">
        <v>441</v>
      </c>
      <c r="I159" t="s">
        <v>766</v>
      </c>
      <c r="J159" s="56">
        <v>7953.1</v>
      </c>
      <c r="K159" s="56">
        <v>8404.7999999999993</v>
      </c>
      <c r="L159">
        <v>16</v>
      </c>
      <c r="M159" t="s">
        <v>137</v>
      </c>
      <c r="N159" t="s">
        <v>138</v>
      </c>
      <c r="O159" t="s">
        <v>767</v>
      </c>
      <c r="P159" t="s">
        <v>325</v>
      </c>
      <c r="Q159" t="s">
        <v>768</v>
      </c>
      <c r="S159" t="s">
        <v>70</v>
      </c>
      <c r="T159" t="s">
        <v>254</v>
      </c>
      <c r="U159" t="s">
        <v>53</v>
      </c>
      <c r="V159" t="s">
        <v>53</v>
      </c>
      <c r="W159" t="s">
        <v>54</v>
      </c>
      <c r="X159" s="22">
        <v>8098</v>
      </c>
      <c r="Y159" s="21" t="s">
        <v>55</v>
      </c>
    </row>
    <row r="160" spans="1:25" hidden="1" x14ac:dyDescent="0.25">
      <c r="B160" s="20">
        <v>46154</v>
      </c>
      <c r="C160" s="20">
        <v>46155</v>
      </c>
      <c r="D160" t="s">
        <v>780</v>
      </c>
      <c r="E160" t="s">
        <v>769</v>
      </c>
      <c r="F160" s="21" t="s">
        <v>770</v>
      </c>
      <c r="G160">
        <v>6100298625</v>
      </c>
      <c r="H160" t="s">
        <v>441</v>
      </c>
      <c r="I160" t="s">
        <v>771</v>
      </c>
      <c r="J160" s="56">
        <v>1780.2</v>
      </c>
      <c r="K160" s="56">
        <v>1971</v>
      </c>
      <c r="L160">
        <v>3</v>
      </c>
      <c r="M160" t="s">
        <v>519</v>
      </c>
      <c r="N160" t="s">
        <v>138</v>
      </c>
      <c r="O160" t="s">
        <v>772</v>
      </c>
      <c r="P160" t="s">
        <v>325</v>
      </c>
      <c r="Q160" t="s">
        <v>773</v>
      </c>
      <c r="S160" t="s">
        <v>70</v>
      </c>
      <c r="T160" t="s">
        <v>254</v>
      </c>
      <c r="U160" t="s">
        <v>53</v>
      </c>
      <c r="V160" t="s">
        <v>53</v>
      </c>
      <c r="W160" t="s">
        <v>54</v>
      </c>
      <c r="X160" s="22">
        <v>8101</v>
      </c>
      <c r="Y160" s="21" t="s">
        <v>55</v>
      </c>
    </row>
    <row r="161" spans="1:25" hidden="1" x14ac:dyDescent="0.25">
      <c r="B161" s="20">
        <v>46154</v>
      </c>
      <c r="C161" s="20">
        <v>46155</v>
      </c>
      <c r="D161" t="s">
        <v>780</v>
      </c>
      <c r="E161" t="s">
        <v>774</v>
      </c>
      <c r="F161" s="21" t="s">
        <v>775</v>
      </c>
      <c r="G161">
        <v>6100298625</v>
      </c>
      <c r="H161" t="s">
        <v>441</v>
      </c>
      <c r="I161" t="s">
        <v>771</v>
      </c>
      <c r="J161" s="56">
        <v>3009.6</v>
      </c>
      <c r="K161" s="56">
        <v>3321.1</v>
      </c>
      <c r="L161">
        <v>5</v>
      </c>
      <c r="M161" t="s">
        <v>519</v>
      </c>
      <c r="N161" t="s">
        <v>138</v>
      </c>
      <c r="O161" t="s">
        <v>772</v>
      </c>
      <c r="P161" t="s">
        <v>325</v>
      </c>
      <c r="Q161" t="s">
        <v>768</v>
      </c>
      <c r="S161" t="s">
        <v>70</v>
      </c>
      <c r="T161" t="s">
        <v>254</v>
      </c>
      <c r="U161" t="s">
        <v>53</v>
      </c>
      <c r="V161" t="s">
        <v>53</v>
      </c>
      <c r="W161" t="s">
        <v>54</v>
      </c>
      <c r="X161" s="22">
        <v>8105</v>
      </c>
      <c r="Y161" s="21" t="s">
        <v>55</v>
      </c>
    </row>
    <row r="162" spans="1:25" hidden="1" x14ac:dyDescent="0.25">
      <c r="B162" s="20">
        <v>46154</v>
      </c>
      <c r="C162" s="20">
        <v>46155</v>
      </c>
      <c r="D162" t="s">
        <v>780</v>
      </c>
      <c r="E162" t="s">
        <v>586</v>
      </c>
      <c r="F162" s="21" t="s">
        <v>776</v>
      </c>
      <c r="G162">
        <v>6100298625</v>
      </c>
      <c r="H162" t="s">
        <v>441</v>
      </c>
      <c r="I162" t="s">
        <v>588</v>
      </c>
      <c r="J162">
        <v>5206.22</v>
      </c>
      <c r="K162">
        <v>5520.5</v>
      </c>
      <c r="L162">
        <v>10</v>
      </c>
      <c r="M162" t="s">
        <v>519</v>
      </c>
      <c r="N162" t="s">
        <v>138</v>
      </c>
      <c r="O162" t="s">
        <v>589</v>
      </c>
      <c r="P162" t="s">
        <v>325</v>
      </c>
      <c r="Q162" t="s">
        <v>51</v>
      </c>
      <c r="S162" t="s">
        <v>70</v>
      </c>
      <c r="T162" t="s">
        <v>254</v>
      </c>
      <c r="U162" t="s">
        <v>53</v>
      </c>
      <c r="V162" t="s">
        <v>53</v>
      </c>
      <c r="W162" t="s">
        <v>54</v>
      </c>
      <c r="X162" s="22">
        <v>8107</v>
      </c>
      <c r="Y162" s="21" t="s">
        <v>55</v>
      </c>
    </row>
    <row r="163" spans="1:25" hidden="1" x14ac:dyDescent="0.25">
      <c r="B163" s="20">
        <v>46154</v>
      </c>
      <c r="C163" s="20">
        <v>46155</v>
      </c>
      <c r="D163" t="s">
        <v>780</v>
      </c>
      <c r="E163" t="s">
        <v>777</v>
      </c>
      <c r="F163" s="21" t="s">
        <v>778</v>
      </c>
      <c r="G163">
        <v>6100298625</v>
      </c>
      <c r="H163" t="s">
        <v>441</v>
      </c>
      <c r="I163" t="s">
        <v>766</v>
      </c>
      <c r="J163" s="56">
        <v>6006.9</v>
      </c>
      <c r="K163" s="56">
        <v>6364.3</v>
      </c>
      <c r="L163">
        <v>12</v>
      </c>
      <c r="M163" t="s">
        <v>519</v>
      </c>
      <c r="N163" t="s">
        <v>138</v>
      </c>
      <c r="O163" t="s">
        <v>767</v>
      </c>
      <c r="P163" t="s">
        <v>325</v>
      </c>
      <c r="Q163" t="s">
        <v>779</v>
      </c>
      <c r="S163" t="s">
        <v>70</v>
      </c>
      <c r="T163" t="s">
        <v>254</v>
      </c>
      <c r="U163" t="s">
        <v>53</v>
      </c>
      <c r="V163" t="s">
        <v>53</v>
      </c>
      <c r="W163" t="s">
        <v>54</v>
      </c>
      <c r="X163" s="22">
        <v>8108</v>
      </c>
      <c r="Y163" s="21" t="s">
        <v>55</v>
      </c>
    </row>
    <row r="164" spans="1:25" hidden="1" x14ac:dyDescent="0.25">
      <c r="A164" t="s">
        <v>49</v>
      </c>
      <c r="B164" s="20">
        <v>46154</v>
      </c>
      <c r="C164" s="20">
        <v>46155</v>
      </c>
      <c r="D164" t="s">
        <v>789</v>
      </c>
      <c r="E164" t="s">
        <v>781</v>
      </c>
      <c r="F164" s="21" t="s">
        <v>782</v>
      </c>
      <c r="G164">
        <v>6100298628</v>
      </c>
      <c r="H164" t="s">
        <v>103</v>
      </c>
      <c r="I164" t="s">
        <v>110</v>
      </c>
      <c r="J164" s="56">
        <v>9320.8799999999992</v>
      </c>
      <c r="K164" s="56">
        <v>9843</v>
      </c>
      <c r="L164">
        <v>15</v>
      </c>
      <c r="M164" t="s">
        <v>104</v>
      </c>
      <c r="N164" t="s">
        <v>105</v>
      </c>
      <c r="O164" t="s">
        <v>111</v>
      </c>
      <c r="P164" t="s">
        <v>106</v>
      </c>
      <c r="Q164" t="s">
        <v>316</v>
      </c>
      <c r="R164" t="s">
        <v>108</v>
      </c>
      <c r="S164" t="s">
        <v>61</v>
      </c>
      <c r="T164" t="s">
        <v>254</v>
      </c>
      <c r="U164" t="s">
        <v>53</v>
      </c>
      <c r="V164" t="s">
        <v>53</v>
      </c>
      <c r="W164" t="s">
        <v>54</v>
      </c>
      <c r="X164" s="22">
        <v>8096</v>
      </c>
      <c r="Y164" s="21" t="s">
        <v>55</v>
      </c>
    </row>
    <row r="165" spans="1:25" hidden="1" x14ac:dyDescent="0.25">
      <c r="A165" t="s">
        <v>60</v>
      </c>
      <c r="B165" s="20">
        <v>46154</v>
      </c>
      <c r="C165" s="20">
        <v>46155</v>
      </c>
      <c r="D165" t="s">
        <v>789</v>
      </c>
      <c r="E165" t="s">
        <v>783</v>
      </c>
      <c r="F165" s="21" t="s">
        <v>784</v>
      </c>
      <c r="G165">
        <v>6100298629</v>
      </c>
      <c r="H165" t="s">
        <v>785</v>
      </c>
      <c r="I165" t="s">
        <v>67</v>
      </c>
      <c r="J165" s="56">
        <v>7898.9</v>
      </c>
      <c r="K165" s="56">
        <v>8517</v>
      </c>
      <c r="L165">
        <v>12</v>
      </c>
      <c r="M165" t="s">
        <v>786</v>
      </c>
      <c r="N165" t="s">
        <v>138</v>
      </c>
      <c r="O165" t="s">
        <v>56</v>
      </c>
      <c r="P165" t="s">
        <v>98</v>
      </c>
      <c r="Q165" t="s">
        <v>787</v>
      </c>
      <c r="R165" t="s">
        <v>788</v>
      </c>
      <c r="S165" t="s">
        <v>61</v>
      </c>
      <c r="T165" t="s">
        <v>254</v>
      </c>
      <c r="U165" t="s">
        <v>53</v>
      </c>
      <c r="V165" t="s">
        <v>53</v>
      </c>
      <c r="W165" t="s">
        <v>54</v>
      </c>
      <c r="X165" s="22">
        <v>8099</v>
      </c>
      <c r="Y165" s="21" t="s">
        <v>55</v>
      </c>
    </row>
    <row r="166" spans="1:25" hidden="1" x14ac:dyDescent="0.25">
      <c r="A166" t="s">
        <v>49</v>
      </c>
      <c r="B166" s="20">
        <v>46155</v>
      </c>
      <c r="C166" s="20">
        <v>46157</v>
      </c>
      <c r="D166" t="s">
        <v>794</v>
      </c>
      <c r="E166" t="s">
        <v>790</v>
      </c>
      <c r="F166" s="21" t="s">
        <v>791</v>
      </c>
      <c r="G166">
        <v>6100298630</v>
      </c>
      <c r="H166" t="s">
        <v>222</v>
      </c>
      <c r="I166" t="s">
        <v>116</v>
      </c>
      <c r="J166" s="56">
        <v>4775.62</v>
      </c>
      <c r="K166" s="56">
        <v>5156.5</v>
      </c>
      <c r="L166">
        <v>11</v>
      </c>
      <c r="M166" t="s">
        <v>216</v>
      </c>
      <c r="N166" t="s">
        <v>148</v>
      </c>
      <c r="O166" t="s">
        <v>117</v>
      </c>
      <c r="P166" t="s">
        <v>106</v>
      </c>
      <c r="Q166" t="s">
        <v>118</v>
      </c>
      <c r="R166" t="s">
        <v>223</v>
      </c>
      <c r="S166" t="s">
        <v>63</v>
      </c>
      <c r="T166" t="s">
        <v>258</v>
      </c>
      <c r="U166" t="s">
        <v>53</v>
      </c>
      <c r="V166" t="s">
        <v>53</v>
      </c>
      <c r="W166" t="s">
        <v>54</v>
      </c>
      <c r="X166" s="22">
        <v>8097</v>
      </c>
      <c r="Y166" s="21" t="s">
        <v>55</v>
      </c>
    </row>
    <row r="167" spans="1:25" hidden="1" x14ac:dyDescent="0.25">
      <c r="B167" s="20">
        <v>46155</v>
      </c>
      <c r="C167" s="20">
        <v>46157</v>
      </c>
      <c r="D167" t="s">
        <v>794</v>
      </c>
      <c r="E167" t="s">
        <v>792</v>
      </c>
      <c r="F167" s="21" t="s">
        <v>793</v>
      </c>
      <c r="G167">
        <v>6100298630</v>
      </c>
      <c r="H167" t="s">
        <v>222</v>
      </c>
      <c r="I167" t="s">
        <v>116</v>
      </c>
      <c r="J167" s="56">
        <v>4818.62</v>
      </c>
      <c r="K167" s="56">
        <v>5197.5</v>
      </c>
      <c r="L167">
        <v>11</v>
      </c>
      <c r="M167" t="s">
        <v>216</v>
      </c>
      <c r="N167" t="s">
        <v>148</v>
      </c>
      <c r="O167" t="s">
        <v>117</v>
      </c>
      <c r="P167" t="s">
        <v>106</v>
      </c>
      <c r="Q167" t="s">
        <v>118</v>
      </c>
      <c r="R167" t="s">
        <v>223</v>
      </c>
      <c r="S167" t="s">
        <v>63</v>
      </c>
      <c r="T167" t="s">
        <v>258</v>
      </c>
      <c r="U167" t="s">
        <v>53</v>
      </c>
      <c r="V167" t="s">
        <v>53</v>
      </c>
      <c r="W167" t="s">
        <v>54</v>
      </c>
      <c r="X167" s="22">
        <v>8102</v>
      </c>
      <c r="Y167" s="21" t="s">
        <v>55</v>
      </c>
    </row>
    <row r="168" spans="1:25" hidden="1" x14ac:dyDescent="0.25">
      <c r="A168" t="s">
        <v>49</v>
      </c>
      <c r="B168" s="20">
        <v>46155</v>
      </c>
      <c r="C168" s="20">
        <v>46155</v>
      </c>
      <c r="D168" t="s">
        <v>799</v>
      </c>
      <c r="E168" t="s">
        <v>795</v>
      </c>
      <c r="F168" s="21" t="s">
        <v>796</v>
      </c>
      <c r="G168">
        <v>6100298631</v>
      </c>
      <c r="H168" t="s">
        <v>174</v>
      </c>
      <c r="I168" t="s">
        <v>240</v>
      </c>
      <c r="J168" s="56">
        <v>6356.4</v>
      </c>
      <c r="K168" s="56">
        <v>6759</v>
      </c>
      <c r="L168">
        <v>10</v>
      </c>
      <c r="M168" t="s">
        <v>175</v>
      </c>
      <c r="N168" t="s">
        <v>97</v>
      </c>
      <c r="O168" t="s">
        <v>241</v>
      </c>
      <c r="P168" t="s">
        <v>106</v>
      </c>
      <c r="Q168" t="s">
        <v>118</v>
      </c>
      <c r="R168" t="s">
        <v>176</v>
      </c>
      <c r="S168" t="s">
        <v>61</v>
      </c>
      <c r="U168" t="s">
        <v>53</v>
      </c>
      <c r="V168" t="s">
        <v>53</v>
      </c>
      <c r="W168" t="s">
        <v>54</v>
      </c>
      <c r="X168" s="22">
        <v>8100</v>
      </c>
      <c r="Y168" s="21" t="s">
        <v>55</v>
      </c>
    </row>
    <row r="169" spans="1:25" hidden="1" x14ac:dyDescent="0.25">
      <c r="B169" s="20">
        <v>46155</v>
      </c>
      <c r="C169" s="20">
        <v>46155</v>
      </c>
      <c r="D169" t="s">
        <v>799</v>
      </c>
      <c r="E169" t="s">
        <v>797</v>
      </c>
      <c r="F169" s="21" t="s">
        <v>798</v>
      </c>
      <c r="G169">
        <v>6100298631</v>
      </c>
      <c r="H169" t="s">
        <v>174</v>
      </c>
      <c r="I169" t="s">
        <v>240</v>
      </c>
      <c r="J169" s="56">
        <v>15875.94</v>
      </c>
      <c r="K169" s="56">
        <v>16876.82</v>
      </c>
      <c r="L169">
        <v>25</v>
      </c>
      <c r="M169" t="s">
        <v>175</v>
      </c>
      <c r="N169" t="s">
        <v>97</v>
      </c>
      <c r="O169" t="s">
        <v>241</v>
      </c>
      <c r="P169" t="s">
        <v>106</v>
      </c>
      <c r="Q169" t="s">
        <v>118</v>
      </c>
      <c r="R169" t="s">
        <v>176</v>
      </c>
      <c r="S169" t="s">
        <v>61</v>
      </c>
      <c r="U169" t="s">
        <v>53</v>
      </c>
      <c r="V169" t="s">
        <v>53</v>
      </c>
      <c r="W169" t="s">
        <v>54</v>
      </c>
      <c r="X169" s="22">
        <v>8104</v>
      </c>
      <c r="Y169" s="21" t="s">
        <v>55</v>
      </c>
    </row>
    <row r="170" spans="1:25" hidden="1" x14ac:dyDescent="0.25">
      <c r="A170" t="s">
        <v>49</v>
      </c>
      <c r="B170" s="20">
        <v>46155</v>
      </c>
      <c r="C170" s="20">
        <v>46157</v>
      </c>
      <c r="D170" t="s">
        <v>806</v>
      </c>
      <c r="E170" t="s">
        <v>800</v>
      </c>
      <c r="F170" s="21" t="s">
        <v>801</v>
      </c>
      <c r="G170">
        <v>6100298632</v>
      </c>
      <c r="H170" t="s">
        <v>307</v>
      </c>
      <c r="I170" t="s">
        <v>387</v>
      </c>
      <c r="J170" s="56">
        <v>7033.6</v>
      </c>
      <c r="K170" s="56">
        <v>7448.2</v>
      </c>
      <c r="L170">
        <v>14</v>
      </c>
      <c r="M170" t="s">
        <v>309</v>
      </c>
      <c r="N170" t="s">
        <v>302</v>
      </c>
      <c r="O170" t="s">
        <v>388</v>
      </c>
      <c r="P170" t="s">
        <v>106</v>
      </c>
      <c r="Q170" t="s">
        <v>389</v>
      </c>
      <c r="R170" t="s">
        <v>390</v>
      </c>
      <c r="S170" t="s">
        <v>63</v>
      </c>
      <c r="T170" t="s">
        <v>276</v>
      </c>
      <c r="U170" t="s">
        <v>53</v>
      </c>
      <c r="V170" t="s">
        <v>53</v>
      </c>
      <c r="W170" t="s">
        <v>54</v>
      </c>
      <c r="X170" s="22">
        <v>8103</v>
      </c>
      <c r="Y170" s="21" t="s">
        <v>55</v>
      </c>
    </row>
    <row r="171" spans="1:25" hidden="1" x14ac:dyDescent="0.25">
      <c r="A171" t="s">
        <v>60</v>
      </c>
      <c r="B171" s="20">
        <v>46155</v>
      </c>
      <c r="C171" s="20">
        <v>46157</v>
      </c>
      <c r="D171" t="s">
        <v>806</v>
      </c>
      <c r="E171" t="s">
        <v>802</v>
      </c>
      <c r="F171" s="21" t="s">
        <v>803</v>
      </c>
      <c r="G171">
        <v>6100298633</v>
      </c>
      <c r="H171" t="s">
        <v>804</v>
      </c>
      <c r="I171" t="s">
        <v>300</v>
      </c>
      <c r="J171" s="56">
        <v>3123.6</v>
      </c>
      <c r="K171" s="56">
        <v>3304</v>
      </c>
      <c r="L171">
        <v>5</v>
      </c>
      <c r="M171" t="s">
        <v>805</v>
      </c>
      <c r="N171" t="s">
        <v>302</v>
      </c>
      <c r="O171" t="s">
        <v>303</v>
      </c>
      <c r="P171" t="s">
        <v>150</v>
      </c>
      <c r="Q171" t="s">
        <v>51</v>
      </c>
      <c r="R171" t="s">
        <v>58</v>
      </c>
      <c r="S171" t="s">
        <v>63</v>
      </c>
      <c r="T171" t="s">
        <v>276</v>
      </c>
      <c r="U171" t="s">
        <v>53</v>
      </c>
      <c r="V171" t="s">
        <v>53</v>
      </c>
      <c r="W171" t="s">
        <v>54</v>
      </c>
      <c r="X171" s="22">
        <v>8106</v>
      </c>
      <c r="Y171" s="21" t="s">
        <v>55</v>
      </c>
    </row>
    <row r="172" spans="1:25" hidden="1" x14ac:dyDescent="0.25">
      <c r="A172" t="s">
        <v>49</v>
      </c>
      <c r="B172" s="20">
        <v>46157</v>
      </c>
      <c r="C172" s="20">
        <v>46160</v>
      </c>
      <c r="D172" t="s">
        <v>815</v>
      </c>
      <c r="E172" t="s">
        <v>807</v>
      </c>
      <c r="F172" s="21" t="s">
        <v>808</v>
      </c>
      <c r="G172">
        <v>6100299259</v>
      </c>
      <c r="H172" t="s">
        <v>711</v>
      </c>
      <c r="I172" t="s">
        <v>73</v>
      </c>
      <c r="J172" s="56">
        <v>3250</v>
      </c>
      <c r="K172" s="56">
        <v>3529</v>
      </c>
      <c r="L172">
        <v>5</v>
      </c>
      <c r="M172" t="s">
        <v>712</v>
      </c>
      <c r="N172" t="s">
        <v>209</v>
      </c>
      <c r="O172" t="s">
        <v>50</v>
      </c>
      <c r="P172" t="s">
        <v>150</v>
      </c>
      <c r="Q172" t="s">
        <v>809</v>
      </c>
      <c r="R172" t="s">
        <v>810</v>
      </c>
      <c r="S172" t="s">
        <v>63</v>
      </c>
      <c r="T172" t="s">
        <v>276</v>
      </c>
      <c r="U172" t="s">
        <v>53</v>
      </c>
      <c r="V172" t="s">
        <v>53</v>
      </c>
      <c r="W172" t="s">
        <v>54</v>
      </c>
      <c r="X172" s="22">
        <v>8122</v>
      </c>
      <c r="Y172" s="21" t="s">
        <v>55</v>
      </c>
    </row>
    <row r="173" spans="1:25" hidden="1" x14ac:dyDescent="0.25">
      <c r="A173" t="s">
        <v>60</v>
      </c>
      <c r="B173" s="20">
        <v>46157</v>
      </c>
      <c r="C173" s="20">
        <v>46162</v>
      </c>
      <c r="D173" t="s">
        <v>815</v>
      </c>
      <c r="E173" t="s">
        <v>811</v>
      </c>
      <c r="F173" s="21" t="s">
        <v>812</v>
      </c>
      <c r="G173">
        <v>6100299260</v>
      </c>
      <c r="H173" t="s">
        <v>299</v>
      </c>
      <c r="I173" t="s">
        <v>300</v>
      </c>
      <c r="J173" s="56">
        <v>3081.8879999999999</v>
      </c>
      <c r="K173" s="56">
        <v>3251</v>
      </c>
      <c r="L173">
        <v>5</v>
      </c>
      <c r="M173" t="s">
        <v>301</v>
      </c>
      <c r="N173" t="s">
        <v>302</v>
      </c>
      <c r="O173" t="s">
        <v>303</v>
      </c>
      <c r="P173" t="s">
        <v>150</v>
      </c>
      <c r="Q173" t="s">
        <v>51</v>
      </c>
      <c r="R173" t="s">
        <v>608</v>
      </c>
      <c r="S173" t="s">
        <v>63</v>
      </c>
      <c r="T173" t="s">
        <v>276</v>
      </c>
      <c r="U173" t="s">
        <v>53</v>
      </c>
      <c r="V173" t="s">
        <v>53</v>
      </c>
      <c r="W173" t="s">
        <v>54</v>
      </c>
      <c r="X173" s="22">
        <v>8125</v>
      </c>
      <c r="Y173" s="21" t="s">
        <v>55</v>
      </c>
    </row>
    <row r="174" spans="1:25" hidden="1" x14ac:dyDescent="0.25">
      <c r="A174" t="s">
        <v>64</v>
      </c>
      <c r="B174" s="20">
        <v>46157</v>
      </c>
      <c r="C174" s="20">
        <v>46162</v>
      </c>
      <c r="D174" t="s">
        <v>815</v>
      </c>
      <c r="E174" t="s">
        <v>813</v>
      </c>
      <c r="F174" s="21" t="s">
        <v>814</v>
      </c>
      <c r="G174">
        <v>6100299261</v>
      </c>
      <c r="H174" t="s">
        <v>307</v>
      </c>
      <c r="I174" t="s">
        <v>240</v>
      </c>
      <c r="J174" s="56">
        <v>3804.04</v>
      </c>
      <c r="K174" s="56">
        <v>4054.5</v>
      </c>
      <c r="L174">
        <v>6</v>
      </c>
      <c r="M174" t="s">
        <v>309</v>
      </c>
      <c r="N174" t="s">
        <v>302</v>
      </c>
      <c r="O174" t="s">
        <v>241</v>
      </c>
      <c r="P174" t="s">
        <v>106</v>
      </c>
      <c r="Q174" t="s">
        <v>605</v>
      </c>
      <c r="R174" t="s">
        <v>390</v>
      </c>
      <c r="S174" t="s">
        <v>63</v>
      </c>
      <c r="T174" t="s">
        <v>276</v>
      </c>
      <c r="U174" t="s">
        <v>53</v>
      </c>
      <c r="V174" t="s">
        <v>53</v>
      </c>
      <c r="W174" t="s">
        <v>54</v>
      </c>
      <c r="X174" s="22">
        <v>8128</v>
      </c>
      <c r="Y174" s="21" t="s">
        <v>55</v>
      </c>
    </row>
    <row r="175" spans="1:25" hidden="1" x14ac:dyDescent="0.25">
      <c r="A175" t="s">
        <v>49</v>
      </c>
      <c r="B175" s="20">
        <v>46160</v>
      </c>
      <c r="C175" s="20">
        <v>46160</v>
      </c>
      <c r="D175" t="s">
        <v>818</v>
      </c>
      <c r="E175" t="s">
        <v>816</v>
      </c>
      <c r="F175" s="21" t="s">
        <v>817</v>
      </c>
      <c r="G175">
        <v>6100299262</v>
      </c>
      <c r="H175" t="s">
        <v>174</v>
      </c>
      <c r="I175" t="s">
        <v>116</v>
      </c>
      <c r="J175" s="56">
        <v>11422.94</v>
      </c>
      <c r="K175" s="56">
        <v>12333</v>
      </c>
      <c r="L175">
        <v>26</v>
      </c>
      <c r="M175" t="s">
        <v>175</v>
      </c>
      <c r="N175" t="s">
        <v>97</v>
      </c>
      <c r="O175" t="s">
        <v>117</v>
      </c>
      <c r="P175" t="s">
        <v>106</v>
      </c>
      <c r="Q175" t="s">
        <v>118</v>
      </c>
      <c r="R175" t="s">
        <v>176</v>
      </c>
      <c r="S175" t="s">
        <v>63</v>
      </c>
      <c r="T175" t="s">
        <v>276</v>
      </c>
      <c r="U175" t="s">
        <v>53</v>
      </c>
      <c r="V175" t="s">
        <v>53</v>
      </c>
      <c r="W175" t="s">
        <v>54</v>
      </c>
      <c r="X175" s="22">
        <v>8126</v>
      </c>
      <c r="Y175" s="21" t="s">
        <v>55</v>
      </c>
    </row>
    <row r="176" spans="1:25" hidden="1" x14ac:dyDescent="0.25">
      <c r="A176" t="s">
        <v>49</v>
      </c>
      <c r="B176" s="20">
        <v>46157</v>
      </c>
      <c r="C176" s="20">
        <v>46160</v>
      </c>
      <c r="D176" t="s">
        <v>828</v>
      </c>
      <c r="E176" t="s">
        <v>819</v>
      </c>
      <c r="F176" s="21" t="s">
        <v>820</v>
      </c>
      <c r="G176">
        <v>6100299264</v>
      </c>
      <c r="H176" t="s">
        <v>222</v>
      </c>
      <c r="I176" t="s">
        <v>240</v>
      </c>
      <c r="J176" s="56">
        <v>10220.6</v>
      </c>
      <c r="K176" s="56">
        <v>10876</v>
      </c>
      <c r="L176">
        <v>16</v>
      </c>
      <c r="M176" t="s">
        <v>216</v>
      </c>
      <c r="N176" t="s">
        <v>148</v>
      </c>
      <c r="O176" t="s">
        <v>241</v>
      </c>
      <c r="P176" t="s">
        <v>106</v>
      </c>
      <c r="Q176" t="s">
        <v>118</v>
      </c>
      <c r="R176" t="s">
        <v>223</v>
      </c>
      <c r="S176" t="s">
        <v>87</v>
      </c>
      <c r="T176" t="s">
        <v>276</v>
      </c>
      <c r="U176" t="s">
        <v>53</v>
      </c>
      <c r="V176" t="s">
        <v>53</v>
      </c>
      <c r="W176" t="s">
        <v>54</v>
      </c>
      <c r="X176" s="22">
        <v>8123</v>
      </c>
      <c r="Y176" s="21" t="s">
        <v>55</v>
      </c>
    </row>
    <row r="177" spans="1:25" hidden="1" x14ac:dyDescent="0.25">
      <c r="A177" t="s">
        <v>60</v>
      </c>
      <c r="B177" s="20">
        <v>46157</v>
      </c>
      <c r="C177" s="20">
        <v>46160</v>
      </c>
      <c r="D177" t="s">
        <v>828</v>
      </c>
      <c r="E177" t="s">
        <v>821</v>
      </c>
      <c r="F177" s="21" t="s">
        <v>822</v>
      </c>
      <c r="G177">
        <v>6100299265</v>
      </c>
      <c r="H177" t="s">
        <v>215</v>
      </c>
      <c r="I177" t="s">
        <v>73</v>
      </c>
      <c r="J177" s="56">
        <v>1296.5</v>
      </c>
      <c r="K177" s="56">
        <v>1404.5</v>
      </c>
      <c r="L177">
        <v>2</v>
      </c>
      <c r="M177" t="s">
        <v>216</v>
      </c>
      <c r="N177" t="s">
        <v>148</v>
      </c>
      <c r="O177" t="s">
        <v>50</v>
      </c>
      <c r="P177" t="s">
        <v>150</v>
      </c>
      <c r="Q177" t="s">
        <v>570</v>
      </c>
      <c r="R177" t="s">
        <v>218</v>
      </c>
      <c r="S177" t="s">
        <v>87</v>
      </c>
      <c r="T177" t="s">
        <v>276</v>
      </c>
      <c r="U177" t="s">
        <v>53</v>
      </c>
      <c r="V177" t="s">
        <v>53</v>
      </c>
      <c r="W177" t="s">
        <v>54</v>
      </c>
      <c r="X177" s="22">
        <v>8124</v>
      </c>
      <c r="Y177" s="21" t="s">
        <v>55</v>
      </c>
    </row>
    <row r="178" spans="1:25" hidden="1" x14ac:dyDescent="0.25">
      <c r="A178" t="s">
        <v>64</v>
      </c>
      <c r="B178" s="20">
        <v>46157</v>
      </c>
      <c r="C178" s="20">
        <v>46160</v>
      </c>
      <c r="D178" t="s">
        <v>828</v>
      </c>
      <c r="E178" t="s">
        <v>823</v>
      </c>
      <c r="F178" s="21" t="s">
        <v>824</v>
      </c>
      <c r="G178">
        <v>6100299266</v>
      </c>
      <c r="H178" t="s">
        <v>688</v>
      </c>
      <c r="I178" t="s">
        <v>67</v>
      </c>
      <c r="J178" s="56">
        <v>3300.5</v>
      </c>
      <c r="K178" s="56">
        <v>3570</v>
      </c>
      <c r="L178">
        <v>5</v>
      </c>
      <c r="M178" t="s">
        <v>689</v>
      </c>
      <c r="N178" t="s">
        <v>148</v>
      </c>
      <c r="O178" t="s">
        <v>56</v>
      </c>
      <c r="P178" t="s">
        <v>150</v>
      </c>
      <c r="Q178" t="s">
        <v>825</v>
      </c>
      <c r="R178" t="s">
        <v>691</v>
      </c>
      <c r="S178" t="s">
        <v>87</v>
      </c>
      <c r="T178" t="s">
        <v>276</v>
      </c>
      <c r="U178" t="s">
        <v>53</v>
      </c>
      <c r="V178" t="s">
        <v>53</v>
      </c>
      <c r="W178" t="s">
        <v>54</v>
      </c>
      <c r="X178" s="22">
        <v>8127</v>
      </c>
      <c r="Y178" s="21" t="s">
        <v>55</v>
      </c>
    </row>
    <row r="179" spans="1:25" hidden="1" x14ac:dyDescent="0.25">
      <c r="B179" s="20">
        <v>46157</v>
      </c>
      <c r="C179" s="20">
        <v>46160</v>
      </c>
      <c r="D179" t="s">
        <v>828</v>
      </c>
      <c r="E179" t="s">
        <v>826</v>
      </c>
      <c r="F179" s="21" t="s">
        <v>827</v>
      </c>
      <c r="G179">
        <v>6100299266</v>
      </c>
      <c r="H179" t="s">
        <v>688</v>
      </c>
      <c r="I179" t="s">
        <v>429</v>
      </c>
      <c r="J179" s="56">
        <v>1830</v>
      </c>
      <c r="K179" s="56">
        <v>1904.5</v>
      </c>
      <c r="L179">
        <v>3</v>
      </c>
      <c r="M179" t="s">
        <v>689</v>
      </c>
      <c r="N179" t="s">
        <v>148</v>
      </c>
      <c r="O179" t="s">
        <v>56</v>
      </c>
      <c r="P179" t="s">
        <v>150</v>
      </c>
      <c r="Q179" t="s">
        <v>825</v>
      </c>
      <c r="R179" t="s">
        <v>691</v>
      </c>
      <c r="S179" t="s">
        <v>87</v>
      </c>
      <c r="T179" t="s">
        <v>276</v>
      </c>
      <c r="U179" t="s">
        <v>53</v>
      </c>
      <c r="V179" t="s">
        <v>53</v>
      </c>
      <c r="W179" t="s">
        <v>54</v>
      </c>
      <c r="X179" s="22">
        <v>8129</v>
      </c>
      <c r="Y179" s="21" t="s">
        <v>55</v>
      </c>
    </row>
    <row r="180" spans="1:25" hidden="1" x14ac:dyDescent="0.25">
      <c r="A180" t="s">
        <v>49</v>
      </c>
      <c r="B180" s="20">
        <v>46156</v>
      </c>
      <c r="C180" s="20">
        <v>46160</v>
      </c>
      <c r="D180" t="s">
        <v>836</v>
      </c>
      <c r="E180" t="s">
        <v>829</v>
      </c>
      <c r="F180" s="21" t="s">
        <v>830</v>
      </c>
      <c r="G180">
        <v>6100299268</v>
      </c>
      <c r="H180" t="s">
        <v>462</v>
      </c>
      <c r="I180" t="s">
        <v>67</v>
      </c>
      <c r="J180" s="56">
        <v>2636.3</v>
      </c>
      <c r="K180" s="56">
        <v>2853</v>
      </c>
      <c r="L180">
        <v>4</v>
      </c>
      <c r="M180" t="s">
        <v>248</v>
      </c>
      <c r="N180" t="s">
        <v>97</v>
      </c>
      <c r="O180" t="s">
        <v>56</v>
      </c>
      <c r="P180" t="s">
        <v>98</v>
      </c>
      <c r="Q180" t="s">
        <v>694</v>
      </c>
      <c r="R180" t="s">
        <v>464</v>
      </c>
      <c r="S180" t="s">
        <v>63</v>
      </c>
      <c r="T180" t="s">
        <v>255</v>
      </c>
      <c r="U180" t="s">
        <v>53</v>
      </c>
      <c r="V180" t="s">
        <v>53</v>
      </c>
      <c r="W180" t="s">
        <v>54</v>
      </c>
      <c r="X180" s="22">
        <v>8119</v>
      </c>
      <c r="Y180" s="21" t="s">
        <v>55</v>
      </c>
    </row>
    <row r="181" spans="1:25" hidden="1" x14ac:dyDescent="0.25">
      <c r="A181" t="s">
        <v>60</v>
      </c>
      <c r="B181" s="20">
        <v>46156</v>
      </c>
      <c r="C181" s="20">
        <v>46161</v>
      </c>
      <c r="D181" t="s">
        <v>836</v>
      </c>
      <c r="E181" t="s">
        <v>831</v>
      </c>
      <c r="F181" s="21" t="s">
        <v>832</v>
      </c>
      <c r="G181">
        <v>6100299269</v>
      </c>
      <c r="H181" t="s">
        <v>115</v>
      </c>
      <c r="I181" t="s">
        <v>116</v>
      </c>
      <c r="J181" s="56">
        <v>2198.44</v>
      </c>
      <c r="K181" s="56">
        <v>2372</v>
      </c>
      <c r="L181">
        <v>5</v>
      </c>
      <c r="M181" t="s">
        <v>104</v>
      </c>
      <c r="N181" t="s">
        <v>105</v>
      </c>
      <c r="O181" t="s">
        <v>117</v>
      </c>
      <c r="P181" t="s">
        <v>106</v>
      </c>
      <c r="Q181" t="s">
        <v>118</v>
      </c>
      <c r="R181" t="s">
        <v>119</v>
      </c>
      <c r="S181" t="s">
        <v>63</v>
      </c>
      <c r="T181" t="s">
        <v>255</v>
      </c>
      <c r="U181" t="s">
        <v>53</v>
      </c>
      <c r="V181" t="s">
        <v>53</v>
      </c>
      <c r="W181" t="s">
        <v>54</v>
      </c>
      <c r="X181" s="22">
        <v>8120</v>
      </c>
      <c r="Y181" s="21" t="s">
        <v>55</v>
      </c>
    </row>
    <row r="182" spans="1:25" hidden="1" x14ac:dyDescent="0.25">
      <c r="A182" t="s">
        <v>64</v>
      </c>
      <c r="B182" s="20">
        <v>46156</v>
      </c>
      <c r="C182" s="20">
        <v>46161</v>
      </c>
      <c r="D182" t="s">
        <v>836</v>
      </c>
      <c r="E182" t="s">
        <v>833</v>
      </c>
      <c r="F182" s="21" t="s">
        <v>834</v>
      </c>
      <c r="G182">
        <v>6100299270</v>
      </c>
      <c r="H182" t="s">
        <v>835</v>
      </c>
      <c r="I182" t="s">
        <v>429</v>
      </c>
      <c r="J182" s="56">
        <v>7408</v>
      </c>
      <c r="K182" s="56">
        <v>7720.5</v>
      </c>
      <c r="L182">
        <v>12</v>
      </c>
      <c r="M182" t="s">
        <v>727</v>
      </c>
      <c r="N182" t="s">
        <v>138</v>
      </c>
      <c r="O182" t="s">
        <v>56</v>
      </c>
      <c r="P182" t="s">
        <v>98</v>
      </c>
      <c r="Q182" t="s">
        <v>728</v>
      </c>
      <c r="R182" t="s">
        <v>729</v>
      </c>
      <c r="S182" t="s">
        <v>63</v>
      </c>
      <c r="T182" t="s">
        <v>255</v>
      </c>
      <c r="U182" t="s">
        <v>53</v>
      </c>
      <c r="V182" t="s">
        <v>53</v>
      </c>
      <c r="W182" t="s">
        <v>54</v>
      </c>
      <c r="X182" s="22">
        <v>8121</v>
      </c>
      <c r="Y182" s="21" t="s">
        <v>55</v>
      </c>
    </row>
    <row r="183" spans="1:25" hidden="1" x14ac:dyDescent="0.25">
      <c r="A183" t="s">
        <v>49</v>
      </c>
      <c r="B183" s="20">
        <v>46157</v>
      </c>
      <c r="C183" s="20">
        <v>46160</v>
      </c>
      <c r="D183" t="s">
        <v>851</v>
      </c>
      <c r="E183" t="s">
        <v>837</v>
      </c>
      <c r="F183" s="21" t="s">
        <v>838</v>
      </c>
      <c r="G183">
        <v>6100299459</v>
      </c>
      <c r="H183" t="s">
        <v>839</v>
      </c>
      <c r="I183" t="s">
        <v>73</v>
      </c>
      <c r="J183" s="56">
        <v>7156</v>
      </c>
      <c r="K183" s="56">
        <v>7760</v>
      </c>
      <c r="L183">
        <v>11</v>
      </c>
      <c r="M183" t="s">
        <v>840</v>
      </c>
      <c r="N183" t="s">
        <v>138</v>
      </c>
      <c r="O183" t="s">
        <v>50</v>
      </c>
      <c r="Q183" t="s">
        <v>51</v>
      </c>
      <c r="R183" t="s">
        <v>841</v>
      </c>
      <c r="S183" t="s">
        <v>87</v>
      </c>
      <c r="T183" t="s">
        <v>255</v>
      </c>
      <c r="U183" t="s">
        <v>53</v>
      </c>
      <c r="V183" t="s">
        <v>53</v>
      </c>
      <c r="W183" t="s">
        <v>54</v>
      </c>
      <c r="X183" s="22">
        <v>8130</v>
      </c>
      <c r="Y183" s="21" t="s">
        <v>55</v>
      </c>
    </row>
    <row r="184" spans="1:25" hidden="1" x14ac:dyDescent="0.25">
      <c r="B184" s="20">
        <v>46157</v>
      </c>
      <c r="C184" s="20">
        <v>46160</v>
      </c>
      <c r="D184" t="s">
        <v>851</v>
      </c>
      <c r="E184" t="s">
        <v>842</v>
      </c>
      <c r="F184" s="21" t="s">
        <v>843</v>
      </c>
      <c r="G184">
        <v>6100299459</v>
      </c>
      <c r="H184" t="s">
        <v>839</v>
      </c>
      <c r="I184" t="s">
        <v>74</v>
      </c>
      <c r="J184" s="56">
        <v>5533</v>
      </c>
      <c r="K184" s="56">
        <v>5761</v>
      </c>
      <c r="L184">
        <v>9</v>
      </c>
      <c r="M184" t="s">
        <v>840</v>
      </c>
      <c r="N184" t="s">
        <v>138</v>
      </c>
      <c r="O184" t="s">
        <v>50</v>
      </c>
      <c r="Q184" t="s">
        <v>51</v>
      </c>
      <c r="R184" t="s">
        <v>841</v>
      </c>
      <c r="S184" t="s">
        <v>87</v>
      </c>
      <c r="T184" t="s">
        <v>255</v>
      </c>
      <c r="U184" t="s">
        <v>53</v>
      </c>
      <c r="V184" t="s">
        <v>53</v>
      </c>
      <c r="W184" t="s">
        <v>54</v>
      </c>
      <c r="X184" s="22">
        <v>8131</v>
      </c>
      <c r="Y184" s="21" t="s">
        <v>55</v>
      </c>
    </row>
    <row r="185" spans="1:25" hidden="1" x14ac:dyDescent="0.25">
      <c r="A185" t="s">
        <v>49</v>
      </c>
      <c r="B185" s="20">
        <v>46157</v>
      </c>
      <c r="C185" s="20">
        <v>46160</v>
      </c>
      <c r="D185" t="s">
        <v>884</v>
      </c>
      <c r="E185" t="s">
        <v>844</v>
      </c>
      <c r="F185" s="57" t="s">
        <v>845</v>
      </c>
      <c r="G185">
        <v>6100299458</v>
      </c>
      <c r="H185" t="s">
        <v>441</v>
      </c>
      <c r="I185" t="s">
        <v>846</v>
      </c>
      <c r="J185" s="56">
        <v>2917.78</v>
      </c>
      <c r="K185" s="56">
        <v>3775</v>
      </c>
      <c r="L185">
        <v>5</v>
      </c>
      <c r="M185" t="s">
        <v>519</v>
      </c>
      <c r="N185" t="s">
        <v>138</v>
      </c>
      <c r="O185" t="s">
        <v>847</v>
      </c>
      <c r="P185" t="s">
        <v>325</v>
      </c>
      <c r="Q185" t="s">
        <v>51</v>
      </c>
      <c r="R185" t="s">
        <v>521</v>
      </c>
      <c r="S185" t="s">
        <v>63</v>
      </c>
      <c r="T185" t="s">
        <v>255</v>
      </c>
      <c r="U185" t="s">
        <v>53</v>
      </c>
      <c r="V185" t="s">
        <v>53</v>
      </c>
      <c r="W185" t="s">
        <v>54</v>
      </c>
      <c r="X185" s="22">
        <v>8143</v>
      </c>
      <c r="Y185" s="21" t="s">
        <v>55</v>
      </c>
    </row>
    <row r="186" spans="1:25" hidden="1" x14ac:dyDescent="0.25">
      <c r="B186" s="20">
        <v>46157</v>
      </c>
      <c r="C186" s="20">
        <v>46160</v>
      </c>
      <c r="E186" t="s">
        <v>848</v>
      </c>
      <c r="F186" s="21" t="s">
        <v>849</v>
      </c>
      <c r="G186">
        <v>6100299458</v>
      </c>
      <c r="H186" t="s">
        <v>441</v>
      </c>
      <c r="I186" t="s">
        <v>850</v>
      </c>
      <c r="J186">
        <v>6621.12</v>
      </c>
      <c r="K186">
        <v>7109</v>
      </c>
      <c r="L186">
        <v>9</v>
      </c>
      <c r="M186" t="s">
        <v>519</v>
      </c>
      <c r="N186" t="s">
        <v>138</v>
      </c>
      <c r="P186" t="s">
        <v>325</v>
      </c>
      <c r="Q186" t="s">
        <v>51</v>
      </c>
      <c r="R186" t="s">
        <v>521</v>
      </c>
      <c r="S186" t="s">
        <v>61</v>
      </c>
      <c r="T186" t="s">
        <v>255</v>
      </c>
      <c r="U186" t="s">
        <v>53</v>
      </c>
      <c r="V186" t="s">
        <v>53</v>
      </c>
      <c r="X186" s="22">
        <v>8134</v>
      </c>
      <c r="Y186" s="21" t="s">
        <v>55</v>
      </c>
    </row>
    <row r="187" spans="1:25" hidden="1" x14ac:dyDescent="0.25">
      <c r="A187" t="s">
        <v>49</v>
      </c>
      <c r="B187" s="20">
        <v>46157</v>
      </c>
      <c r="C187" s="20">
        <v>46160</v>
      </c>
      <c r="D187" t="s">
        <v>870</v>
      </c>
      <c r="E187" t="s">
        <v>852</v>
      </c>
      <c r="F187" s="21" t="s">
        <v>853</v>
      </c>
      <c r="G187">
        <v>6100299497</v>
      </c>
      <c r="H187" t="s">
        <v>190</v>
      </c>
      <c r="I187" t="s">
        <v>198</v>
      </c>
      <c r="J187" s="56">
        <v>4247.84</v>
      </c>
      <c r="K187" s="56">
        <v>4513.5</v>
      </c>
      <c r="L187">
        <v>8</v>
      </c>
      <c r="M187" t="s">
        <v>192</v>
      </c>
      <c r="N187" t="s">
        <v>193</v>
      </c>
      <c r="O187" t="s">
        <v>199</v>
      </c>
      <c r="P187" t="s">
        <v>150</v>
      </c>
      <c r="Q187" t="s">
        <v>51</v>
      </c>
      <c r="R187" t="s">
        <v>195</v>
      </c>
      <c r="S187" t="s">
        <v>61</v>
      </c>
      <c r="T187" t="s">
        <v>255</v>
      </c>
      <c r="U187" t="s">
        <v>53</v>
      </c>
      <c r="V187" t="s">
        <v>53</v>
      </c>
      <c r="W187" t="s">
        <v>54</v>
      </c>
      <c r="X187" s="22">
        <v>8135</v>
      </c>
      <c r="Y187" s="21" t="s">
        <v>55</v>
      </c>
    </row>
    <row r="188" spans="1:25" hidden="1" x14ac:dyDescent="0.25">
      <c r="B188" s="20">
        <v>46157</v>
      </c>
      <c r="C188" s="20">
        <v>46160</v>
      </c>
      <c r="D188" t="s">
        <v>870</v>
      </c>
      <c r="E188" t="s">
        <v>854</v>
      </c>
      <c r="F188" s="21" t="s">
        <v>855</v>
      </c>
      <c r="G188">
        <v>6100299497</v>
      </c>
      <c r="H188" t="s">
        <v>190</v>
      </c>
      <c r="I188" t="s">
        <v>479</v>
      </c>
      <c r="J188" s="56">
        <v>2159.1</v>
      </c>
      <c r="K188" s="56">
        <v>2273.5</v>
      </c>
      <c r="L188">
        <v>3</v>
      </c>
      <c r="M188" t="s">
        <v>192</v>
      </c>
      <c r="N188" t="s">
        <v>193</v>
      </c>
      <c r="O188" t="s">
        <v>480</v>
      </c>
      <c r="P188" t="s">
        <v>150</v>
      </c>
      <c r="Q188" t="s">
        <v>51</v>
      </c>
      <c r="R188" t="s">
        <v>195</v>
      </c>
      <c r="S188" t="s">
        <v>61</v>
      </c>
      <c r="T188" t="s">
        <v>255</v>
      </c>
      <c r="U188" t="s">
        <v>53</v>
      </c>
      <c r="V188" t="s">
        <v>53</v>
      </c>
      <c r="W188" t="s">
        <v>54</v>
      </c>
      <c r="X188" s="22">
        <v>8136</v>
      </c>
      <c r="Y188" s="21" t="s">
        <v>55</v>
      </c>
    </row>
    <row r="189" spans="1:25" hidden="1" x14ac:dyDescent="0.25">
      <c r="B189" s="20">
        <v>46157</v>
      </c>
      <c r="C189" s="20">
        <v>46160</v>
      </c>
      <c r="D189" t="s">
        <v>870</v>
      </c>
      <c r="E189" t="s">
        <v>856</v>
      </c>
      <c r="F189" s="21" t="s">
        <v>857</v>
      </c>
      <c r="G189">
        <v>6100299497</v>
      </c>
      <c r="H189" t="s">
        <v>190</v>
      </c>
      <c r="I189" t="s">
        <v>191</v>
      </c>
      <c r="J189" s="56">
        <v>2724.8</v>
      </c>
      <c r="K189" s="56">
        <v>2894.5</v>
      </c>
      <c r="L189">
        <v>5</v>
      </c>
      <c r="M189" t="s">
        <v>192</v>
      </c>
      <c r="N189" t="s">
        <v>193</v>
      </c>
      <c r="O189" t="s">
        <v>194</v>
      </c>
      <c r="P189" t="s">
        <v>150</v>
      </c>
      <c r="Q189" t="s">
        <v>51</v>
      </c>
      <c r="R189" t="s">
        <v>195</v>
      </c>
      <c r="S189" t="s">
        <v>61</v>
      </c>
      <c r="T189" t="s">
        <v>255</v>
      </c>
      <c r="U189" t="s">
        <v>53</v>
      </c>
      <c r="V189" t="s">
        <v>53</v>
      </c>
      <c r="W189" t="s">
        <v>54</v>
      </c>
      <c r="X189" s="22">
        <v>8138</v>
      </c>
      <c r="Y189" s="21" t="s">
        <v>55</v>
      </c>
    </row>
    <row r="190" spans="1:25" hidden="1" x14ac:dyDescent="0.25">
      <c r="B190" s="20">
        <v>46157</v>
      </c>
      <c r="C190" s="20">
        <v>46160</v>
      </c>
      <c r="D190" t="s">
        <v>870</v>
      </c>
      <c r="E190" t="s">
        <v>858</v>
      </c>
      <c r="F190" s="21" t="s">
        <v>859</v>
      </c>
      <c r="G190">
        <v>6100299497</v>
      </c>
      <c r="H190" t="s">
        <v>190</v>
      </c>
      <c r="I190" t="s">
        <v>74</v>
      </c>
      <c r="J190">
        <v>615</v>
      </c>
      <c r="K190">
        <v>641</v>
      </c>
      <c r="L190">
        <v>1</v>
      </c>
      <c r="M190" t="s">
        <v>192</v>
      </c>
      <c r="N190" t="s">
        <v>193</v>
      </c>
      <c r="O190" t="s">
        <v>50</v>
      </c>
      <c r="P190" t="s">
        <v>150</v>
      </c>
      <c r="Q190" t="s">
        <v>51</v>
      </c>
      <c r="R190" t="s">
        <v>195</v>
      </c>
      <c r="S190" t="s">
        <v>61</v>
      </c>
      <c r="T190" t="s">
        <v>255</v>
      </c>
      <c r="U190" t="s">
        <v>53</v>
      </c>
      <c r="V190" t="s">
        <v>53</v>
      </c>
      <c r="W190" t="s">
        <v>54</v>
      </c>
      <c r="X190" s="22">
        <v>8139</v>
      </c>
      <c r="Y190" s="21" t="s">
        <v>55</v>
      </c>
    </row>
    <row r="191" spans="1:25" hidden="1" x14ac:dyDescent="0.25">
      <c r="B191" s="20">
        <v>46157</v>
      </c>
      <c r="C191" s="20">
        <v>46160</v>
      </c>
      <c r="D191" t="s">
        <v>870</v>
      </c>
      <c r="E191" t="s">
        <v>860</v>
      </c>
      <c r="F191" s="21" t="s">
        <v>861</v>
      </c>
      <c r="G191">
        <v>6100299497</v>
      </c>
      <c r="H191" t="s">
        <v>190</v>
      </c>
      <c r="I191" t="s">
        <v>68</v>
      </c>
      <c r="J191" s="56">
        <v>1942.5</v>
      </c>
      <c r="K191" s="56">
        <v>2110.5</v>
      </c>
      <c r="L191">
        <v>3</v>
      </c>
      <c r="M191" t="s">
        <v>192</v>
      </c>
      <c r="N191" t="s">
        <v>193</v>
      </c>
      <c r="O191" t="s">
        <v>50</v>
      </c>
      <c r="P191" t="s">
        <v>150</v>
      </c>
      <c r="Q191" t="s">
        <v>51</v>
      </c>
      <c r="R191" t="s">
        <v>195</v>
      </c>
      <c r="S191" t="s">
        <v>61</v>
      </c>
      <c r="T191" t="s">
        <v>255</v>
      </c>
      <c r="U191" t="s">
        <v>53</v>
      </c>
      <c r="V191" t="s">
        <v>53</v>
      </c>
      <c r="W191" t="s">
        <v>54</v>
      </c>
      <c r="X191" s="22">
        <v>8140</v>
      </c>
      <c r="Y191" s="21" t="s">
        <v>55</v>
      </c>
    </row>
    <row r="192" spans="1:25" hidden="1" x14ac:dyDescent="0.25">
      <c r="A192" t="s">
        <v>60</v>
      </c>
      <c r="B192" s="20">
        <v>46157</v>
      </c>
      <c r="C192" s="20">
        <v>46160</v>
      </c>
      <c r="D192" t="s">
        <v>870</v>
      </c>
      <c r="E192" t="s">
        <v>862</v>
      </c>
      <c r="F192" s="21" t="s">
        <v>863</v>
      </c>
      <c r="G192">
        <v>6100299495</v>
      </c>
      <c r="H192" t="s">
        <v>864</v>
      </c>
      <c r="I192" t="s">
        <v>350</v>
      </c>
      <c r="J192" s="56">
        <v>3909.1</v>
      </c>
      <c r="K192" s="56">
        <v>4254.5</v>
      </c>
      <c r="L192">
        <v>6</v>
      </c>
      <c r="M192" t="s">
        <v>376</v>
      </c>
      <c r="N192" t="s">
        <v>148</v>
      </c>
      <c r="O192" t="s">
        <v>352</v>
      </c>
      <c r="P192" t="s">
        <v>150</v>
      </c>
      <c r="Q192" t="s">
        <v>865</v>
      </c>
      <c r="R192" t="s">
        <v>866</v>
      </c>
      <c r="S192" t="s">
        <v>61</v>
      </c>
      <c r="T192" t="s">
        <v>255</v>
      </c>
      <c r="U192" t="s">
        <v>53</v>
      </c>
      <c r="V192" t="s">
        <v>53</v>
      </c>
      <c r="W192" t="s">
        <v>54</v>
      </c>
      <c r="X192" s="22">
        <v>8141</v>
      </c>
      <c r="Y192" s="21" t="s">
        <v>55</v>
      </c>
    </row>
    <row r="193" spans="1:25" hidden="1" x14ac:dyDescent="0.25">
      <c r="B193" s="20">
        <v>46157</v>
      </c>
      <c r="C193" s="20">
        <v>46160</v>
      </c>
      <c r="D193" t="s">
        <v>870</v>
      </c>
      <c r="E193" t="s">
        <v>867</v>
      </c>
      <c r="F193" s="21" t="s">
        <v>868</v>
      </c>
      <c r="G193">
        <v>6100299495</v>
      </c>
      <c r="H193" t="s">
        <v>864</v>
      </c>
      <c r="I193" t="s">
        <v>350</v>
      </c>
      <c r="J193" s="56">
        <v>5281.4</v>
      </c>
      <c r="K193" s="56">
        <v>5749.5</v>
      </c>
      <c r="L193">
        <v>8</v>
      </c>
      <c r="M193" t="s">
        <v>376</v>
      </c>
      <c r="N193" t="s">
        <v>148</v>
      </c>
      <c r="O193" t="s">
        <v>352</v>
      </c>
      <c r="P193" t="s">
        <v>150</v>
      </c>
      <c r="Q193" t="s">
        <v>869</v>
      </c>
      <c r="R193" t="s">
        <v>866</v>
      </c>
      <c r="S193" t="s">
        <v>61</v>
      </c>
      <c r="T193" t="s">
        <v>255</v>
      </c>
      <c r="U193" t="s">
        <v>53</v>
      </c>
      <c r="V193" t="s">
        <v>53</v>
      </c>
      <c r="W193" t="s">
        <v>54</v>
      </c>
      <c r="X193" s="22">
        <v>8142</v>
      </c>
      <c r="Y193" s="21" t="s">
        <v>55</v>
      </c>
    </row>
    <row r="194" spans="1:25" hidden="1" x14ac:dyDescent="0.25">
      <c r="B194" s="20">
        <v>46157</v>
      </c>
      <c r="C194" s="20">
        <v>46155</v>
      </c>
      <c r="D194" t="s">
        <v>884</v>
      </c>
      <c r="E194" t="s">
        <v>871</v>
      </c>
      <c r="F194" s="57" t="s">
        <v>872</v>
      </c>
      <c r="G194">
        <v>6100299498</v>
      </c>
      <c r="H194" t="s">
        <v>441</v>
      </c>
      <c r="I194" t="s">
        <v>873</v>
      </c>
      <c r="J194" s="56">
        <v>1017.6</v>
      </c>
      <c r="K194" s="56">
        <v>1076</v>
      </c>
      <c r="L194">
        <v>2</v>
      </c>
      <c r="M194" t="s">
        <v>519</v>
      </c>
      <c r="N194" t="s">
        <v>138</v>
      </c>
      <c r="S194" t="s">
        <v>63</v>
      </c>
      <c r="T194" t="s">
        <v>255</v>
      </c>
      <c r="U194" t="s">
        <v>53</v>
      </c>
      <c r="V194" t="s">
        <v>53</v>
      </c>
      <c r="W194" t="s">
        <v>54</v>
      </c>
      <c r="X194" s="22">
        <v>8132</v>
      </c>
      <c r="Y194" s="21" t="s">
        <v>55</v>
      </c>
    </row>
    <row r="195" spans="1:25" hidden="1" x14ac:dyDescent="0.25">
      <c r="B195" s="20">
        <v>46157</v>
      </c>
      <c r="C195" s="20">
        <v>46160</v>
      </c>
      <c r="D195" t="s">
        <v>884</v>
      </c>
      <c r="E195" t="s">
        <v>874</v>
      </c>
      <c r="F195" s="57" t="s">
        <v>875</v>
      </c>
      <c r="G195">
        <v>6100299498</v>
      </c>
      <c r="H195" t="s">
        <v>441</v>
      </c>
      <c r="I195" t="s">
        <v>876</v>
      </c>
      <c r="J195" s="56">
        <v>1777</v>
      </c>
      <c r="K195" s="56">
        <v>1912.5</v>
      </c>
      <c r="L195">
        <v>3</v>
      </c>
      <c r="M195" t="s">
        <v>519</v>
      </c>
      <c r="N195" t="s">
        <v>138</v>
      </c>
      <c r="S195" t="s">
        <v>63</v>
      </c>
      <c r="T195" t="s">
        <v>255</v>
      </c>
      <c r="U195" t="s">
        <v>53</v>
      </c>
      <c r="V195" t="s">
        <v>53</v>
      </c>
      <c r="W195" t="s">
        <v>54</v>
      </c>
      <c r="X195" s="22">
        <v>8134</v>
      </c>
      <c r="Y195" s="21" t="s">
        <v>55</v>
      </c>
    </row>
    <row r="196" spans="1:25" hidden="1" x14ac:dyDescent="0.25">
      <c r="B196" s="20">
        <v>46157</v>
      </c>
      <c r="C196" s="20">
        <v>46160</v>
      </c>
      <c r="E196" t="s">
        <v>877</v>
      </c>
      <c r="F196" s="21" t="s">
        <v>878</v>
      </c>
      <c r="G196">
        <v>6100299498</v>
      </c>
      <c r="H196" t="s">
        <v>441</v>
      </c>
      <c r="I196" t="s">
        <v>846</v>
      </c>
      <c r="J196" s="56">
        <v>3299.7</v>
      </c>
      <c r="K196" s="56">
        <v>3504</v>
      </c>
      <c r="L196">
        <v>5</v>
      </c>
      <c r="M196" t="s">
        <v>519</v>
      </c>
      <c r="N196" t="s">
        <v>138</v>
      </c>
      <c r="S196" t="s">
        <v>63</v>
      </c>
      <c r="T196" t="s">
        <v>255</v>
      </c>
      <c r="U196" t="s">
        <v>53</v>
      </c>
      <c r="V196" t="s">
        <v>53</v>
      </c>
      <c r="Y196" s="21" t="s">
        <v>55</v>
      </c>
    </row>
    <row r="197" spans="1:25" hidden="1" x14ac:dyDescent="0.25">
      <c r="B197" s="20">
        <v>46157</v>
      </c>
      <c r="C197" s="20">
        <v>46160</v>
      </c>
      <c r="D197" t="s">
        <v>884</v>
      </c>
      <c r="E197" t="s">
        <v>879</v>
      </c>
      <c r="F197" s="57" t="s">
        <v>880</v>
      </c>
      <c r="G197">
        <v>6100299498</v>
      </c>
      <c r="H197" t="s">
        <v>441</v>
      </c>
      <c r="I197" t="s">
        <v>881</v>
      </c>
      <c r="J197" s="56">
        <v>4384.4399999999996</v>
      </c>
      <c r="K197" s="56">
        <v>4758.5</v>
      </c>
      <c r="L197">
        <v>6</v>
      </c>
      <c r="M197" t="s">
        <v>519</v>
      </c>
      <c r="N197" t="s">
        <v>138</v>
      </c>
      <c r="S197" t="s">
        <v>63</v>
      </c>
      <c r="T197" t="s">
        <v>255</v>
      </c>
      <c r="U197" t="s">
        <v>53</v>
      </c>
      <c r="V197" t="s">
        <v>53</v>
      </c>
      <c r="W197" t="s">
        <v>54</v>
      </c>
      <c r="X197" s="22">
        <v>8135</v>
      </c>
      <c r="Y197" s="21" t="s">
        <v>55</v>
      </c>
    </row>
    <row r="198" spans="1:25" hidden="1" x14ac:dyDescent="0.25">
      <c r="B198" s="20">
        <v>46157</v>
      </c>
      <c r="C198" s="20">
        <v>46160</v>
      </c>
      <c r="D198" t="s">
        <v>884</v>
      </c>
      <c r="E198" t="s">
        <v>882</v>
      </c>
      <c r="F198" s="57" t="s">
        <v>883</v>
      </c>
      <c r="G198">
        <v>6100299498</v>
      </c>
      <c r="H198" t="s">
        <v>441</v>
      </c>
      <c r="I198" t="s">
        <v>771</v>
      </c>
      <c r="J198" s="56">
        <v>1788.8</v>
      </c>
      <c r="K198" s="56">
        <v>1978.5</v>
      </c>
      <c r="L198">
        <v>3</v>
      </c>
      <c r="M198" t="s">
        <v>519</v>
      </c>
      <c r="N198" t="s">
        <v>138</v>
      </c>
      <c r="S198" t="s">
        <v>63</v>
      </c>
      <c r="T198" t="s">
        <v>255</v>
      </c>
      <c r="U198" t="s">
        <v>53</v>
      </c>
      <c r="V198" t="s">
        <v>53</v>
      </c>
      <c r="W198" t="s">
        <v>54</v>
      </c>
      <c r="X198" s="22">
        <v>8137</v>
      </c>
      <c r="Y198" s="21" t="s">
        <v>55</v>
      </c>
    </row>
    <row r="199" spans="1:25" hidden="1" x14ac:dyDescent="0.25">
      <c r="A199" t="s">
        <v>49</v>
      </c>
      <c r="B199" s="20">
        <v>46161</v>
      </c>
      <c r="C199" s="20">
        <v>46162</v>
      </c>
      <c r="D199" t="s">
        <v>902</v>
      </c>
      <c r="E199" t="s">
        <v>885</v>
      </c>
      <c r="F199" s="21" t="s">
        <v>886</v>
      </c>
      <c r="G199">
        <v>6100300647</v>
      </c>
      <c r="H199" t="s">
        <v>899</v>
      </c>
      <c r="I199" t="s">
        <v>370</v>
      </c>
      <c r="J199" s="56">
        <v>4766.3</v>
      </c>
      <c r="K199" s="56">
        <v>5662.5</v>
      </c>
      <c r="L199">
        <v>10</v>
      </c>
      <c r="M199" t="s">
        <v>371</v>
      </c>
      <c r="N199" t="s">
        <v>193</v>
      </c>
      <c r="Q199" t="s">
        <v>51</v>
      </c>
      <c r="R199" t="s">
        <v>372</v>
      </c>
      <c r="S199" t="s">
        <v>63</v>
      </c>
      <c r="U199" t="s">
        <v>53</v>
      </c>
      <c r="V199" t="s">
        <v>53</v>
      </c>
      <c r="W199" t="s">
        <v>54</v>
      </c>
      <c r="X199" s="22">
        <v>8158</v>
      </c>
      <c r="Y199" s="21" t="s">
        <v>55</v>
      </c>
    </row>
    <row r="200" spans="1:25" hidden="1" x14ac:dyDescent="0.25">
      <c r="A200" t="s">
        <v>60</v>
      </c>
      <c r="B200" s="20">
        <v>46161</v>
      </c>
      <c r="C200" s="20">
        <v>46163</v>
      </c>
      <c r="D200" t="s">
        <v>902</v>
      </c>
      <c r="E200" t="s">
        <v>887</v>
      </c>
      <c r="F200" s="21" t="s">
        <v>888</v>
      </c>
      <c r="G200">
        <v>6100300648</v>
      </c>
      <c r="H200" t="s">
        <v>900</v>
      </c>
      <c r="I200" t="s">
        <v>73</v>
      </c>
      <c r="J200" s="56">
        <v>1281</v>
      </c>
      <c r="K200" s="56">
        <v>1393</v>
      </c>
      <c r="L200">
        <v>2</v>
      </c>
      <c r="M200" t="s">
        <v>410</v>
      </c>
      <c r="N200" t="s">
        <v>148</v>
      </c>
      <c r="O200" t="s">
        <v>50</v>
      </c>
      <c r="Q200" t="s">
        <v>889</v>
      </c>
      <c r="R200" t="s">
        <v>890</v>
      </c>
      <c r="S200" t="s">
        <v>63</v>
      </c>
      <c r="U200" t="s">
        <v>53</v>
      </c>
      <c r="V200" t="s">
        <v>53</v>
      </c>
      <c r="W200" t="s">
        <v>54</v>
      </c>
      <c r="X200" s="22">
        <v>8159</v>
      </c>
      <c r="Y200" s="21" t="s">
        <v>55</v>
      </c>
    </row>
    <row r="201" spans="1:25" hidden="1" x14ac:dyDescent="0.25">
      <c r="A201" t="s">
        <v>64</v>
      </c>
      <c r="B201" s="20">
        <v>46161</v>
      </c>
      <c r="C201" s="20">
        <v>46163</v>
      </c>
      <c r="D201" t="s">
        <v>902</v>
      </c>
      <c r="E201" t="s">
        <v>891</v>
      </c>
      <c r="F201" s="21" t="s">
        <v>892</v>
      </c>
      <c r="G201">
        <v>6100300649</v>
      </c>
      <c r="H201" t="s">
        <v>901</v>
      </c>
      <c r="I201" t="s">
        <v>67</v>
      </c>
      <c r="J201" s="56">
        <v>1317.4</v>
      </c>
      <c r="K201" s="56">
        <v>1422</v>
      </c>
      <c r="L201">
        <v>2</v>
      </c>
      <c r="M201" t="s">
        <v>416</v>
      </c>
      <c r="N201" t="s">
        <v>148</v>
      </c>
      <c r="O201" t="s">
        <v>56</v>
      </c>
      <c r="Q201" t="s">
        <v>893</v>
      </c>
      <c r="R201" t="s">
        <v>894</v>
      </c>
      <c r="S201" t="s">
        <v>63</v>
      </c>
      <c r="U201" t="s">
        <v>53</v>
      </c>
      <c r="V201" t="s">
        <v>53</v>
      </c>
      <c r="W201" t="s">
        <v>54</v>
      </c>
      <c r="X201" s="22">
        <v>8160</v>
      </c>
      <c r="Y201" s="21" t="s">
        <v>55</v>
      </c>
    </row>
    <row r="202" spans="1:25" hidden="1" x14ac:dyDescent="0.25">
      <c r="B202" s="20">
        <v>46161</v>
      </c>
      <c r="C202" s="20">
        <v>46163</v>
      </c>
      <c r="D202" t="s">
        <v>902</v>
      </c>
      <c r="E202" t="s">
        <v>895</v>
      </c>
      <c r="F202" s="21" t="s">
        <v>896</v>
      </c>
      <c r="G202">
        <v>6100300649</v>
      </c>
      <c r="H202" t="s">
        <v>901</v>
      </c>
      <c r="I202" t="s">
        <v>67</v>
      </c>
      <c r="J202" s="56">
        <v>1303.9000000000001</v>
      </c>
      <c r="K202" s="56">
        <v>1407.5</v>
      </c>
      <c r="L202">
        <v>2</v>
      </c>
      <c r="M202" t="s">
        <v>416</v>
      </c>
      <c r="N202" t="s">
        <v>148</v>
      </c>
      <c r="O202" t="s">
        <v>56</v>
      </c>
      <c r="Q202" t="s">
        <v>893</v>
      </c>
      <c r="R202" t="s">
        <v>894</v>
      </c>
      <c r="S202" t="s">
        <v>63</v>
      </c>
      <c r="U202" t="s">
        <v>53</v>
      </c>
      <c r="V202" t="s">
        <v>53</v>
      </c>
      <c r="W202" t="s">
        <v>54</v>
      </c>
      <c r="X202" s="22">
        <v>8161</v>
      </c>
      <c r="Y202" s="21" t="s">
        <v>55</v>
      </c>
    </row>
    <row r="203" spans="1:25" hidden="1" x14ac:dyDescent="0.25">
      <c r="B203" s="20">
        <v>46161</v>
      </c>
      <c r="C203" s="20">
        <v>46163</v>
      </c>
      <c r="D203" t="s">
        <v>902</v>
      </c>
      <c r="E203" t="s">
        <v>897</v>
      </c>
      <c r="F203" s="21" t="s">
        <v>898</v>
      </c>
      <c r="G203">
        <v>6100300649</v>
      </c>
      <c r="H203" t="s">
        <v>901</v>
      </c>
      <c r="I203" t="s">
        <v>67</v>
      </c>
      <c r="J203" s="56">
        <v>1279.4000000000001</v>
      </c>
      <c r="K203" s="56">
        <v>1385</v>
      </c>
      <c r="L203">
        <v>2</v>
      </c>
      <c r="M203" t="s">
        <v>416</v>
      </c>
      <c r="N203" t="s">
        <v>148</v>
      </c>
      <c r="O203" t="s">
        <v>56</v>
      </c>
      <c r="Q203" t="s">
        <v>893</v>
      </c>
      <c r="R203" t="s">
        <v>894</v>
      </c>
      <c r="S203" t="s">
        <v>63</v>
      </c>
      <c r="U203" t="s">
        <v>53</v>
      </c>
      <c r="V203" t="s">
        <v>53</v>
      </c>
      <c r="W203" t="s">
        <v>54</v>
      </c>
      <c r="X203" s="22">
        <v>8162</v>
      </c>
      <c r="Y203" s="21" t="s">
        <v>55</v>
      </c>
    </row>
    <row r="204" spans="1:25" hidden="1" x14ac:dyDescent="0.25">
      <c r="A204" t="s">
        <v>49</v>
      </c>
      <c r="B204" s="20">
        <v>46167</v>
      </c>
      <c r="C204" s="20">
        <v>46168</v>
      </c>
      <c r="D204" t="s">
        <v>914</v>
      </c>
      <c r="E204" t="s">
        <v>903</v>
      </c>
      <c r="F204" s="21" t="s">
        <v>904</v>
      </c>
      <c r="G204">
        <v>6100301894</v>
      </c>
      <c r="H204" t="s">
        <v>489</v>
      </c>
      <c r="I204" t="s">
        <v>490</v>
      </c>
      <c r="J204" s="56">
        <v>9746.6</v>
      </c>
      <c r="K204" s="56">
        <v>10562</v>
      </c>
      <c r="L204">
        <v>19</v>
      </c>
      <c r="M204" t="s">
        <v>491</v>
      </c>
      <c r="N204" t="s">
        <v>193</v>
      </c>
      <c r="O204" t="s">
        <v>492</v>
      </c>
      <c r="P204" t="s">
        <v>106</v>
      </c>
      <c r="Q204" t="s">
        <v>118</v>
      </c>
      <c r="R204" t="s">
        <v>493</v>
      </c>
      <c r="S204" t="s">
        <v>61</v>
      </c>
      <c r="T204" t="s">
        <v>276</v>
      </c>
      <c r="U204" t="s">
        <v>53</v>
      </c>
      <c r="V204" t="s">
        <v>53</v>
      </c>
      <c r="W204" t="s">
        <v>54</v>
      </c>
      <c r="X204" s="22">
        <v>8182</v>
      </c>
      <c r="Y204" s="21" t="s">
        <v>55</v>
      </c>
    </row>
    <row r="205" spans="1:25" hidden="1" x14ac:dyDescent="0.25">
      <c r="B205" s="20">
        <v>46167</v>
      </c>
      <c r="C205" s="20">
        <v>46168</v>
      </c>
      <c r="D205" t="s">
        <v>914</v>
      </c>
      <c r="E205" t="s">
        <v>905</v>
      </c>
      <c r="F205" s="21" t="s">
        <v>906</v>
      </c>
      <c r="G205">
        <v>6100301894</v>
      </c>
      <c r="H205" t="s">
        <v>489</v>
      </c>
      <c r="I205" t="s">
        <v>907</v>
      </c>
      <c r="J205" s="56">
        <v>5228.83</v>
      </c>
      <c r="K205" s="56">
        <v>5505</v>
      </c>
      <c r="L205">
        <v>8</v>
      </c>
      <c r="M205" t="s">
        <v>491</v>
      </c>
      <c r="N205" t="s">
        <v>193</v>
      </c>
      <c r="O205" t="s">
        <v>388</v>
      </c>
      <c r="P205" t="s">
        <v>106</v>
      </c>
      <c r="Q205" t="s">
        <v>118</v>
      </c>
      <c r="R205" t="s">
        <v>493</v>
      </c>
      <c r="S205" t="s">
        <v>61</v>
      </c>
      <c r="T205" t="s">
        <v>276</v>
      </c>
      <c r="U205" t="s">
        <v>53</v>
      </c>
      <c r="V205" t="s">
        <v>53</v>
      </c>
      <c r="W205" t="s">
        <v>54</v>
      </c>
      <c r="X205" s="22">
        <v>8186</v>
      </c>
      <c r="Y205" s="21" t="s">
        <v>55</v>
      </c>
    </row>
    <row r="206" spans="1:25" hidden="1" x14ac:dyDescent="0.25">
      <c r="B206" s="20">
        <v>46167</v>
      </c>
      <c r="C206" s="20">
        <v>46168</v>
      </c>
      <c r="D206" t="s">
        <v>914</v>
      </c>
      <c r="E206" t="s">
        <v>908</v>
      </c>
      <c r="F206" s="21" t="s">
        <v>909</v>
      </c>
      <c r="G206">
        <v>6100301894</v>
      </c>
      <c r="H206" t="s">
        <v>489</v>
      </c>
      <c r="I206" t="s">
        <v>907</v>
      </c>
      <c r="J206" s="56">
        <v>1320.62</v>
      </c>
      <c r="K206" s="56">
        <v>1387.5</v>
      </c>
      <c r="L206">
        <v>3</v>
      </c>
      <c r="M206" t="s">
        <v>491</v>
      </c>
      <c r="N206" t="s">
        <v>193</v>
      </c>
      <c r="O206" t="s">
        <v>388</v>
      </c>
      <c r="P206" t="s">
        <v>106</v>
      </c>
      <c r="Q206" t="s">
        <v>118</v>
      </c>
      <c r="R206" t="s">
        <v>493</v>
      </c>
      <c r="S206" t="s">
        <v>61</v>
      </c>
      <c r="T206" t="s">
        <v>276</v>
      </c>
      <c r="U206" t="s">
        <v>53</v>
      </c>
      <c r="V206" t="s">
        <v>53</v>
      </c>
      <c r="W206" t="s">
        <v>54</v>
      </c>
      <c r="X206" s="22">
        <v>8188</v>
      </c>
      <c r="Y206" s="21" t="s">
        <v>55</v>
      </c>
    </row>
    <row r="207" spans="1:25" hidden="1" x14ac:dyDescent="0.25">
      <c r="B207" s="20">
        <v>46167</v>
      </c>
      <c r="C207" s="20">
        <v>46168</v>
      </c>
      <c r="D207" t="s">
        <v>914</v>
      </c>
      <c r="E207" t="s">
        <v>910</v>
      </c>
      <c r="F207" s="21" t="s">
        <v>911</v>
      </c>
      <c r="G207">
        <v>6100301894</v>
      </c>
      <c r="H207" t="s">
        <v>489</v>
      </c>
      <c r="I207" t="s">
        <v>110</v>
      </c>
      <c r="J207" s="56">
        <v>1226.3399999999999</v>
      </c>
      <c r="K207" s="56">
        <v>1294</v>
      </c>
      <c r="L207">
        <v>2</v>
      </c>
      <c r="M207" t="s">
        <v>491</v>
      </c>
      <c r="N207" t="s">
        <v>193</v>
      </c>
      <c r="O207" t="s">
        <v>111</v>
      </c>
      <c r="P207" t="s">
        <v>106</v>
      </c>
      <c r="Q207" t="s">
        <v>118</v>
      </c>
      <c r="R207" t="s">
        <v>493</v>
      </c>
      <c r="S207" t="s">
        <v>61</v>
      </c>
      <c r="T207" t="s">
        <v>276</v>
      </c>
      <c r="U207" t="s">
        <v>53</v>
      </c>
      <c r="V207" t="s">
        <v>53</v>
      </c>
      <c r="W207" t="s">
        <v>54</v>
      </c>
      <c r="X207" s="22">
        <v>8190</v>
      </c>
      <c r="Y207" s="21" t="s">
        <v>55</v>
      </c>
    </row>
    <row r="208" spans="1:25" hidden="1" x14ac:dyDescent="0.25">
      <c r="B208" s="20">
        <v>46167</v>
      </c>
      <c r="C208" s="20">
        <v>46168</v>
      </c>
      <c r="D208" t="s">
        <v>914</v>
      </c>
      <c r="E208" t="s">
        <v>912</v>
      </c>
      <c r="F208" s="21" t="s">
        <v>913</v>
      </c>
      <c r="G208">
        <v>6100301894</v>
      </c>
      <c r="H208" t="s">
        <v>489</v>
      </c>
      <c r="I208" t="s">
        <v>68</v>
      </c>
      <c r="J208" s="56">
        <v>4567</v>
      </c>
      <c r="K208" s="56">
        <v>4951.5</v>
      </c>
      <c r="L208">
        <v>7</v>
      </c>
      <c r="M208" t="s">
        <v>491</v>
      </c>
      <c r="N208" t="s">
        <v>193</v>
      </c>
      <c r="O208" t="s">
        <v>50</v>
      </c>
      <c r="P208" t="s">
        <v>106</v>
      </c>
      <c r="Q208" t="s">
        <v>118</v>
      </c>
      <c r="R208" t="s">
        <v>493</v>
      </c>
      <c r="S208" t="s">
        <v>61</v>
      </c>
      <c r="T208" t="s">
        <v>276</v>
      </c>
      <c r="U208" t="s">
        <v>53</v>
      </c>
      <c r="V208" t="s">
        <v>53</v>
      </c>
      <c r="W208" t="s">
        <v>54</v>
      </c>
      <c r="X208" s="22">
        <v>8192</v>
      </c>
      <c r="Y208" s="21" t="s">
        <v>55</v>
      </c>
    </row>
    <row r="209" spans="1:25" hidden="1" x14ac:dyDescent="0.25">
      <c r="A209" t="s">
        <v>49</v>
      </c>
      <c r="B209" s="20">
        <v>46167</v>
      </c>
      <c r="C209" s="20">
        <v>46168</v>
      </c>
      <c r="D209" t="s">
        <v>925</v>
      </c>
      <c r="E209" t="s">
        <v>915</v>
      </c>
      <c r="F209" s="21" t="s">
        <v>916</v>
      </c>
      <c r="G209">
        <v>6100301895</v>
      </c>
      <c r="H209" t="s">
        <v>917</v>
      </c>
      <c r="I209" t="s">
        <v>74</v>
      </c>
      <c r="J209" s="56">
        <v>1233.5</v>
      </c>
      <c r="K209" s="56">
        <v>1284.5</v>
      </c>
      <c r="L209">
        <v>2</v>
      </c>
      <c r="M209" t="s">
        <v>404</v>
      </c>
      <c r="N209" t="s">
        <v>148</v>
      </c>
      <c r="O209" t="s">
        <v>50</v>
      </c>
      <c r="Q209" t="s">
        <v>405</v>
      </c>
      <c r="R209" t="s">
        <v>406</v>
      </c>
      <c r="S209" t="s">
        <v>63</v>
      </c>
      <c r="T209" t="s">
        <v>276</v>
      </c>
      <c r="U209" t="s">
        <v>53</v>
      </c>
      <c r="V209" t="s">
        <v>53</v>
      </c>
      <c r="W209" t="s">
        <v>54</v>
      </c>
      <c r="X209" s="22">
        <v>8193</v>
      </c>
      <c r="Y209" s="21" t="s">
        <v>55</v>
      </c>
    </row>
    <row r="210" spans="1:25" hidden="1" x14ac:dyDescent="0.25">
      <c r="A210" t="s">
        <v>60</v>
      </c>
      <c r="B210" s="20">
        <v>46167</v>
      </c>
      <c r="C210" s="20">
        <v>46169</v>
      </c>
      <c r="D210" t="s">
        <v>925</v>
      </c>
      <c r="E210" t="s">
        <v>918</v>
      </c>
      <c r="F210" s="21" t="s">
        <v>919</v>
      </c>
      <c r="G210">
        <v>6100301897</v>
      </c>
      <c r="H210" t="s">
        <v>920</v>
      </c>
      <c r="I210" t="s">
        <v>921</v>
      </c>
      <c r="J210" s="56">
        <v>2602</v>
      </c>
      <c r="K210" s="56">
        <v>2810</v>
      </c>
      <c r="L210">
        <v>5</v>
      </c>
      <c r="M210" t="s">
        <v>422</v>
      </c>
      <c r="N210" t="s">
        <v>148</v>
      </c>
      <c r="Q210" t="s">
        <v>922</v>
      </c>
      <c r="R210" t="s">
        <v>542</v>
      </c>
      <c r="S210" t="s">
        <v>63</v>
      </c>
      <c r="T210" t="s">
        <v>276</v>
      </c>
      <c r="U210" t="s">
        <v>53</v>
      </c>
      <c r="V210" t="s">
        <v>53</v>
      </c>
      <c r="W210" t="s">
        <v>54</v>
      </c>
      <c r="X210" s="22">
        <v>8183</v>
      </c>
      <c r="Y210" s="21" t="s">
        <v>55</v>
      </c>
    </row>
    <row r="211" spans="1:25" hidden="1" x14ac:dyDescent="0.25">
      <c r="B211" s="20">
        <v>46167</v>
      </c>
      <c r="C211" s="20">
        <v>46169</v>
      </c>
      <c r="D211" t="s">
        <v>925</v>
      </c>
      <c r="E211" t="s">
        <v>923</v>
      </c>
      <c r="F211" s="21" t="s">
        <v>924</v>
      </c>
      <c r="G211">
        <v>6100301897</v>
      </c>
      <c r="H211" t="s">
        <v>920</v>
      </c>
      <c r="I211" t="s">
        <v>168</v>
      </c>
      <c r="J211" s="56">
        <v>4251.01</v>
      </c>
      <c r="K211" s="56">
        <v>4512.91</v>
      </c>
      <c r="L211">
        <v>7</v>
      </c>
      <c r="M211" t="s">
        <v>422</v>
      </c>
      <c r="N211" t="s">
        <v>148</v>
      </c>
      <c r="Q211" t="s">
        <v>922</v>
      </c>
      <c r="R211" t="s">
        <v>542</v>
      </c>
      <c r="S211" t="s">
        <v>63</v>
      </c>
      <c r="T211" t="s">
        <v>276</v>
      </c>
      <c r="U211" t="s">
        <v>53</v>
      </c>
      <c r="V211" t="s">
        <v>53</v>
      </c>
      <c r="W211" t="s">
        <v>54</v>
      </c>
      <c r="X211" s="22">
        <v>8187</v>
      </c>
      <c r="Y211" s="21" t="s">
        <v>55</v>
      </c>
    </row>
    <row r="212" spans="1:25" hidden="1" x14ac:dyDescent="0.25">
      <c r="A212" t="s">
        <v>49</v>
      </c>
      <c r="B212" s="20">
        <v>46167</v>
      </c>
      <c r="C212" s="20">
        <v>46168</v>
      </c>
      <c r="D212" t="s">
        <v>942</v>
      </c>
      <c r="E212" t="s">
        <v>926</v>
      </c>
      <c r="F212" s="21" t="s">
        <v>927</v>
      </c>
      <c r="G212">
        <v>6100301898</v>
      </c>
      <c r="H212" t="s">
        <v>435</v>
      </c>
      <c r="I212" t="s">
        <v>74</v>
      </c>
      <c r="J212" s="56">
        <v>2465</v>
      </c>
      <c r="K212" s="56">
        <v>2569</v>
      </c>
      <c r="L212">
        <v>4</v>
      </c>
      <c r="M212" t="s">
        <v>436</v>
      </c>
      <c r="N212" t="s">
        <v>97</v>
      </c>
      <c r="O212" t="s">
        <v>50</v>
      </c>
      <c r="P212" t="s">
        <v>150</v>
      </c>
      <c r="Q212" t="s">
        <v>928</v>
      </c>
      <c r="R212" t="s">
        <v>438</v>
      </c>
      <c r="S212" t="s">
        <v>63</v>
      </c>
      <c r="T212" t="s">
        <v>276</v>
      </c>
      <c r="U212" t="s">
        <v>53</v>
      </c>
      <c r="V212" t="s">
        <v>53</v>
      </c>
      <c r="W212" t="s">
        <v>54</v>
      </c>
      <c r="X212" s="22">
        <v>8184</v>
      </c>
      <c r="Y212" s="21" t="s">
        <v>55</v>
      </c>
    </row>
    <row r="213" spans="1:25" hidden="1" x14ac:dyDescent="0.25">
      <c r="B213" s="20">
        <v>46167</v>
      </c>
      <c r="C213" s="20">
        <v>46168</v>
      </c>
      <c r="D213" t="s">
        <v>942</v>
      </c>
      <c r="E213" t="s">
        <v>929</v>
      </c>
      <c r="F213" s="21" t="s">
        <v>930</v>
      </c>
      <c r="G213">
        <v>6100301898</v>
      </c>
      <c r="H213" t="s">
        <v>435</v>
      </c>
      <c r="I213" t="s">
        <v>73</v>
      </c>
      <c r="J213">
        <v>649</v>
      </c>
      <c r="K213">
        <v>705</v>
      </c>
      <c r="L213">
        <v>1</v>
      </c>
      <c r="M213" t="s">
        <v>436</v>
      </c>
      <c r="N213" t="s">
        <v>97</v>
      </c>
      <c r="O213" t="s">
        <v>50</v>
      </c>
      <c r="P213" t="s">
        <v>150</v>
      </c>
      <c r="Q213" t="s">
        <v>931</v>
      </c>
      <c r="R213" t="s">
        <v>438</v>
      </c>
      <c r="S213" t="s">
        <v>63</v>
      </c>
      <c r="T213" t="s">
        <v>276</v>
      </c>
      <c r="U213" t="s">
        <v>53</v>
      </c>
      <c r="V213" t="s">
        <v>53</v>
      </c>
      <c r="W213" t="s">
        <v>54</v>
      </c>
      <c r="X213" s="22">
        <v>8194</v>
      </c>
      <c r="Y213" s="21" t="s">
        <v>55</v>
      </c>
    </row>
    <row r="214" spans="1:25" hidden="1" x14ac:dyDescent="0.25">
      <c r="A214" t="s">
        <v>60</v>
      </c>
      <c r="B214" s="20">
        <v>46167</v>
      </c>
      <c r="C214" s="20">
        <v>46168</v>
      </c>
      <c r="D214" t="s">
        <v>942</v>
      </c>
      <c r="E214" t="s">
        <v>932</v>
      </c>
      <c r="F214" s="21" t="s">
        <v>933</v>
      </c>
      <c r="G214">
        <v>6100302000</v>
      </c>
      <c r="H214" t="s">
        <v>934</v>
      </c>
      <c r="I214" t="s">
        <v>99</v>
      </c>
      <c r="J214" s="56">
        <v>6576</v>
      </c>
      <c r="K214" s="56">
        <v>7133</v>
      </c>
      <c r="L214">
        <v>10</v>
      </c>
      <c r="M214" t="s">
        <v>935</v>
      </c>
      <c r="N214" t="s">
        <v>209</v>
      </c>
      <c r="O214" t="s">
        <v>75</v>
      </c>
      <c r="P214" t="s">
        <v>150</v>
      </c>
      <c r="Q214" t="s">
        <v>936</v>
      </c>
      <c r="R214" t="s">
        <v>937</v>
      </c>
      <c r="S214" t="s">
        <v>63</v>
      </c>
      <c r="T214" t="s">
        <v>276</v>
      </c>
      <c r="U214" t="s">
        <v>53</v>
      </c>
      <c r="V214" t="s">
        <v>53</v>
      </c>
      <c r="W214" t="s">
        <v>54</v>
      </c>
      <c r="X214" s="22">
        <v>8189</v>
      </c>
      <c r="Y214" s="21" t="s">
        <v>55</v>
      </c>
    </row>
    <row r="215" spans="1:25" hidden="1" x14ac:dyDescent="0.25">
      <c r="B215" s="20">
        <v>46167</v>
      </c>
      <c r="C215" s="20">
        <v>46168</v>
      </c>
      <c r="D215" t="s">
        <v>942</v>
      </c>
      <c r="E215" t="s">
        <v>938</v>
      </c>
      <c r="F215" s="21" t="s">
        <v>939</v>
      </c>
      <c r="G215">
        <v>6100302000</v>
      </c>
      <c r="H215" t="s">
        <v>934</v>
      </c>
      <c r="I215" t="s">
        <v>74</v>
      </c>
      <c r="J215" s="56">
        <v>1224.5</v>
      </c>
      <c r="K215" s="56">
        <v>1276.5</v>
      </c>
      <c r="L215">
        <v>2</v>
      </c>
      <c r="M215" t="s">
        <v>935</v>
      </c>
      <c r="N215" t="s">
        <v>209</v>
      </c>
      <c r="O215" t="s">
        <v>50</v>
      </c>
      <c r="P215" t="s">
        <v>150</v>
      </c>
      <c r="Q215" t="s">
        <v>940</v>
      </c>
      <c r="R215" t="s">
        <v>941</v>
      </c>
      <c r="S215" t="s">
        <v>63</v>
      </c>
      <c r="T215" t="s">
        <v>276</v>
      </c>
      <c r="U215" t="s">
        <v>53</v>
      </c>
      <c r="V215" t="s">
        <v>53</v>
      </c>
      <c r="W215" t="s">
        <v>54</v>
      </c>
      <c r="X215" s="22">
        <v>8191</v>
      </c>
      <c r="Y215" s="21" t="s">
        <v>55</v>
      </c>
    </row>
    <row r="216" spans="1:25" hidden="1" x14ac:dyDescent="0.25">
      <c r="A216" t="s">
        <v>49</v>
      </c>
      <c r="B216" s="20">
        <v>46164</v>
      </c>
      <c r="C216" s="20">
        <v>46164</v>
      </c>
      <c r="D216" t="s">
        <v>945</v>
      </c>
      <c r="E216" t="s">
        <v>943</v>
      </c>
      <c r="F216" s="21">
        <v>80709404</v>
      </c>
      <c r="G216" t="s">
        <v>58</v>
      </c>
      <c r="H216" t="s">
        <v>428</v>
      </c>
      <c r="I216" t="s">
        <v>74</v>
      </c>
      <c r="J216">
        <v>616.5</v>
      </c>
      <c r="K216">
        <v>640.5</v>
      </c>
      <c r="L216">
        <v>1</v>
      </c>
      <c r="M216" t="s">
        <v>248</v>
      </c>
      <c r="N216" t="s">
        <v>97</v>
      </c>
      <c r="O216" t="s">
        <v>50</v>
      </c>
      <c r="Q216" t="s">
        <v>944</v>
      </c>
      <c r="R216" t="s">
        <v>58</v>
      </c>
      <c r="S216" t="s">
        <v>63</v>
      </c>
      <c r="U216" t="s">
        <v>53</v>
      </c>
      <c r="V216" t="s">
        <v>53</v>
      </c>
      <c r="W216" t="s">
        <v>54</v>
      </c>
      <c r="X216" s="22">
        <v>8185</v>
      </c>
      <c r="Y216" s="21" t="s">
        <v>55</v>
      </c>
    </row>
    <row r="217" spans="1:25" hidden="1" x14ac:dyDescent="0.25">
      <c r="A217" t="s">
        <v>49</v>
      </c>
      <c r="B217" s="20">
        <v>46169</v>
      </c>
      <c r="C217" s="20">
        <v>46169</v>
      </c>
      <c r="D217" t="s">
        <v>952</v>
      </c>
      <c r="E217" t="s">
        <v>947</v>
      </c>
      <c r="F217" s="21" t="s">
        <v>948</v>
      </c>
      <c r="G217" t="s">
        <v>58</v>
      </c>
      <c r="H217" t="s">
        <v>222</v>
      </c>
      <c r="I217" t="s">
        <v>240</v>
      </c>
      <c r="J217" s="56">
        <v>7627.88</v>
      </c>
      <c r="K217" s="56">
        <v>8114</v>
      </c>
      <c r="L217">
        <v>12</v>
      </c>
      <c r="M217" t="s">
        <v>216</v>
      </c>
      <c r="N217" t="s">
        <v>148</v>
      </c>
      <c r="O217" t="s">
        <v>241</v>
      </c>
      <c r="P217" t="s">
        <v>106</v>
      </c>
      <c r="Q217" t="s">
        <v>949</v>
      </c>
      <c r="R217" t="s">
        <v>223</v>
      </c>
      <c r="S217" t="s">
        <v>63</v>
      </c>
      <c r="U217" t="s">
        <v>53</v>
      </c>
      <c r="V217" t="s">
        <v>53</v>
      </c>
      <c r="W217" t="s">
        <v>54</v>
      </c>
      <c r="X217" s="22">
        <v>8207</v>
      </c>
      <c r="Y217" s="21" t="s">
        <v>55</v>
      </c>
    </row>
    <row r="218" spans="1:25" hidden="1" x14ac:dyDescent="0.25">
      <c r="B218" s="20">
        <v>46169</v>
      </c>
      <c r="C218" s="20">
        <v>46169</v>
      </c>
      <c r="D218" t="s">
        <v>952</v>
      </c>
      <c r="E218" t="s">
        <v>950</v>
      </c>
      <c r="F218" s="21" t="s">
        <v>951</v>
      </c>
      <c r="G218" t="s">
        <v>58</v>
      </c>
      <c r="H218" t="s">
        <v>222</v>
      </c>
      <c r="I218" t="s">
        <v>232</v>
      </c>
      <c r="J218" s="56">
        <v>2882.6</v>
      </c>
      <c r="K218" s="56">
        <v>3041.5</v>
      </c>
      <c r="L218">
        <v>4</v>
      </c>
      <c r="M218" t="s">
        <v>216</v>
      </c>
      <c r="N218" t="s">
        <v>148</v>
      </c>
      <c r="O218" t="s">
        <v>233</v>
      </c>
      <c r="P218" t="s">
        <v>106</v>
      </c>
      <c r="Q218" t="s">
        <v>748</v>
      </c>
      <c r="R218" t="s">
        <v>223</v>
      </c>
      <c r="S218" t="s">
        <v>63</v>
      </c>
      <c r="U218" t="s">
        <v>53</v>
      </c>
      <c r="V218" t="s">
        <v>53</v>
      </c>
      <c r="W218" t="s">
        <v>54</v>
      </c>
      <c r="X218" s="22">
        <v>8208</v>
      </c>
      <c r="Y218" s="21" t="s">
        <v>55</v>
      </c>
    </row>
    <row r="219" spans="1:25" hidden="1" x14ac:dyDescent="0.25">
      <c r="A219" t="s">
        <v>49</v>
      </c>
      <c r="B219" s="20">
        <v>46168</v>
      </c>
      <c r="C219" s="20">
        <v>46169</v>
      </c>
      <c r="D219" t="s">
        <v>957</v>
      </c>
      <c r="E219" t="s">
        <v>953</v>
      </c>
      <c r="F219" s="21">
        <v>80711941</v>
      </c>
      <c r="G219">
        <v>6100303293</v>
      </c>
      <c r="H219" t="s">
        <v>958</v>
      </c>
      <c r="I219" t="s">
        <v>74</v>
      </c>
      <c r="J219" s="56">
        <v>3121</v>
      </c>
      <c r="K219" s="56">
        <v>3252</v>
      </c>
      <c r="L219">
        <v>5</v>
      </c>
      <c r="M219" t="s">
        <v>954</v>
      </c>
      <c r="N219" t="s">
        <v>955</v>
      </c>
      <c r="O219" t="s">
        <v>50</v>
      </c>
      <c r="Q219" t="s">
        <v>51</v>
      </c>
      <c r="R219" t="s">
        <v>956</v>
      </c>
      <c r="S219" t="s">
        <v>63</v>
      </c>
      <c r="U219" t="s">
        <v>53</v>
      </c>
      <c r="V219" t="s">
        <v>53</v>
      </c>
      <c r="W219" t="s">
        <v>54</v>
      </c>
      <c r="X219" s="22">
        <v>8209</v>
      </c>
      <c r="Y219" s="21" t="s">
        <v>55</v>
      </c>
    </row>
    <row r="220" spans="1:25" hidden="1" x14ac:dyDescent="0.25">
      <c r="A220" t="s">
        <v>49</v>
      </c>
      <c r="B220" s="20">
        <v>46171</v>
      </c>
      <c r="C220" s="20">
        <v>46174</v>
      </c>
      <c r="D220" t="s">
        <v>965</v>
      </c>
      <c r="E220" t="s">
        <v>959</v>
      </c>
      <c r="F220" s="21" t="s">
        <v>960</v>
      </c>
      <c r="G220">
        <v>6100303911</v>
      </c>
      <c r="H220" t="s">
        <v>293</v>
      </c>
      <c r="I220" t="s">
        <v>74</v>
      </c>
      <c r="J220" s="56">
        <v>3744</v>
      </c>
      <c r="K220" s="56">
        <v>3915</v>
      </c>
      <c r="L220">
        <v>6</v>
      </c>
      <c r="M220" t="s">
        <v>294</v>
      </c>
      <c r="N220" t="s">
        <v>295</v>
      </c>
      <c r="O220" t="s">
        <v>50</v>
      </c>
      <c r="P220" t="s">
        <v>150</v>
      </c>
      <c r="Q220" t="s">
        <v>961</v>
      </c>
      <c r="R220" t="s">
        <v>962</v>
      </c>
      <c r="S220" t="s">
        <v>63</v>
      </c>
      <c r="U220" t="s">
        <v>53</v>
      </c>
      <c r="V220" t="s">
        <v>53</v>
      </c>
      <c r="W220" t="s">
        <v>54</v>
      </c>
      <c r="X220" s="22">
        <v>8211</v>
      </c>
      <c r="Y220" s="21" t="s">
        <v>55</v>
      </c>
    </row>
    <row r="221" spans="1:25" hidden="1" x14ac:dyDescent="0.25">
      <c r="A221" t="s">
        <v>60</v>
      </c>
      <c r="B221" s="20">
        <v>46171</v>
      </c>
      <c r="C221" s="20">
        <v>46175</v>
      </c>
      <c r="D221" t="s">
        <v>965</v>
      </c>
      <c r="E221" t="s">
        <v>963</v>
      </c>
      <c r="F221" s="21" t="s">
        <v>964</v>
      </c>
      <c r="G221">
        <v>6100303912</v>
      </c>
      <c r="H221" t="s">
        <v>383</v>
      </c>
      <c r="I221" t="s">
        <v>74</v>
      </c>
      <c r="J221" s="56">
        <v>6181</v>
      </c>
      <c r="K221" s="56">
        <v>6447</v>
      </c>
      <c r="L221">
        <v>10</v>
      </c>
      <c r="M221" t="s">
        <v>294</v>
      </c>
      <c r="N221" t="s">
        <v>295</v>
      </c>
      <c r="O221" t="s">
        <v>50</v>
      </c>
      <c r="P221" t="s">
        <v>150</v>
      </c>
      <c r="Q221" t="s">
        <v>51</v>
      </c>
      <c r="R221" t="s">
        <v>384</v>
      </c>
      <c r="S221" t="s">
        <v>63</v>
      </c>
      <c r="U221" t="s">
        <v>53</v>
      </c>
      <c r="V221" t="s">
        <v>53</v>
      </c>
      <c r="W221" t="s">
        <v>54</v>
      </c>
      <c r="X221" s="22">
        <v>8212</v>
      </c>
      <c r="Y221" s="21" t="s">
        <v>55</v>
      </c>
    </row>
    <row r="222" spans="1:25" hidden="1" x14ac:dyDescent="0.25">
      <c r="A222" t="s">
        <v>49</v>
      </c>
      <c r="B222" s="20">
        <v>46171</v>
      </c>
      <c r="C222" s="20">
        <v>46174</v>
      </c>
      <c r="D222" t="s">
        <v>980</v>
      </c>
      <c r="E222" t="s">
        <v>966</v>
      </c>
      <c r="F222" s="21" t="s">
        <v>967</v>
      </c>
      <c r="G222">
        <v>6100303914</v>
      </c>
      <c r="H222" t="s">
        <v>145</v>
      </c>
      <c r="I222" t="s">
        <v>146</v>
      </c>
      <c r="J222" s="56">
        <v>2168.8429999999998</v>
      </c>
      <c r="K222" s="56">
        <v>2273</v>
      </c>
      <c r="L222">
        <v>3</v>
      </c>
      <c r="M222" t="s">
        <v>147</v>
      </c>
      <c r="N222" t="s">
        <v>148</v>
      </c>
      <c r="O222" t="s">
        <v>149</v>
      </c>
      <c r="P222" t="s">
        <v>150</v>
      </c>
      <c r="Q222" t="s">
        <v>968</v>
      </c>
      <c r="R222" t="s">
        <v>151</v>
      </c>
      <c r="S222" t="s">
        <v>61</v>
      </c>
      <c r="U222" t="s">
        <v>53</v>
      </c>
      <c r="V222" t="s">
        <v>53</v>
      </c>
      <c r="W222" t="s">
        <v>54</v>
      </c>
      <c r="X222" s="22">
        <v>8213</v>
      </c>
      <c r="Y222" s="21" t="s">
        <v>55</v>
      </c>
    </row>
    <row r="223" spans="1:25" hidden="1" x14ac:dyDescent="0.25">
      <c r="B223" s="20">
        <v>46171</v>
      </c>
      <c r="C223" s="20">
        <v>46174</v>
      </c>
      <c r="D223" t="s">
        <v>980</v>
      </c>
      <c r="E223" t="s">
        <v>969</v>
      </c>
      <c r="F223" s="21" t="s">
        <v>970</v>
      </c>
      <c r="G223">
        <v>6100303914</v>
      </c>
      <c r="H223" t="s">
        <v>145</v>
      </c>
      <c r="I223" t="s">
        <v>971</v>
      </c>
      <c r="J223" s="56">
        <v>5281.3</v>
      </c>
      <c r="K223" s="56">
        <v>5566.5</v>
      </c>
      <c r="L223">
        <v>7</v>
      </c>
      <c r="M223" t="s">
        <v>147</v>
      </c>
      <c r="N223" t="s">
        <v>148</v>
      </c>
      <c r="O223" t="s">
        <v>515</v>
      </c>
      <c r="P223" t="s">
        <v>150</v>
      </c>
      <c r="Q223" t="s">
        <v>968</v>
      </c>
      <c r="R223" t="s">
        <v>151</v>
      </c>
      <c r="S223" t="s">
        <v>61</v>
      </c>
      <c r="U223" t="s">
        <v>53</v>
      </c>
      <c r="V223" t="s">
        <v>53</v>
      </c>
      <c r="W223" t="s">
        <v>54</v>
      </c>
      <c r="X223" s="22">
        <v>8214</v>
      </c>
      <c r="Y223" s="21" t="s">
        <v>55</v>
      </c>
    </row>
    <row r="224" spans="1:25" hidden="1" x14ac:dyDescent="0.25">
      <c r="B224" s="20">
        <v>46171</v>
      </c>
      <c r="C224" s="20">
        <v>46174</v>
      </c>
      <c r="D224" t="s">
        <v>980</v>
      </c>
      <c r="E224" t="s">
        <v>972</v>
      </c>
      <c r="F224" s="21" t="s">
        <v>973</v>
      </c>
      <c r="G224">
        <v>6100303914</v>
      </c>
      <c r="H224" t="s">
        <v>145</v>
      </c>
      <c r="I224" t="s">
        <v>650</v>
      </c>
      <c r="J224" s="56">
        <v>2207.86</v>
      </c>
      <c r="K224" s="56">
        <v>2343</v>
      </c>
      <c r="L224">
        <v>4</v>
      </c>
      <c r="M224" t="s">
        <v>147</v>
      </c>
      <c r="N224" t="s">
        <v>148</v>
      </c>
      <c r="O224" t="s">
        <v>651</v>
      </c>
      <c r="P224" t="s">
        <v>150</v>
      </c>
      <c r="Q224" t="s">
        <v>968</v>
      </c>
      <c r="R224" t="s">
        <v>151</v>
      </c>
      <c r="S224" t="s">
        <v>61</v>
      </c>
      <c r="U224" t="s">
        <v>53</v>
      </c>
      <c r="V224" t="s">
        <v>53</v>
      </c>
      <c r="W224" t="s">
        <v>54</v>
      </c>
      <c r="X224" s="22">
        <v>8215</v>
      </c>
      <c r="Y224" s="21" t="s">
        <v>55</v>
      </c>
    </row>
    <row r="225" spans="1:25" hidden="1" x14ac:dyDescent="0.25">
      <c r="B225" s="20">
        <v>46171</v>
      </c>
      <c r="C225" s="20">
        <v>46174</v>
      </c>
      <c r="D225" t="s">
        <v>980</v>
      </c>
      <c r="E225" t="s">
        <v>974</v>
      </c>
      <c r="F225" s="21" t="s">
        <v>975</v>
      </c>
      <c r="G225">
        <v>6100303914</v>
      </c>
      <c r="H225" t="s">
        <v>145</v>
      </c>
      <c r="I225" t="s">
        <v>68</v>
      </c>
      <c r="J225" s="56">
        <v>5215.5</v>
      </c>
      <c r="K225" s="56">
        <v>5656.5</v>
      </c>
      <c r="L225">
        <v>8</v>
      </c>
      <c r="M225" t="s">
        <v>147</v>
      </c>
      <c r="N225" t="s">
        <v>148</v>
      </c>
      <c r="O225" t="s">
        <v>50</v>
      </c>
      <c r="P225" t="s">
        <v>150</v>
      </c>
      <c r="Q225" t="s">
        <v>968</v>
      </c>
      <c r="R225" t="s">
        <v>151</v>
      </c>
      <c r="S225" t="s">
        <v>61</v>
      </c>
      <c r="U225" t="s">
        <v>53</v>
      </c>
      <c r="V225" t="s">
        <v>53</v>
      </c>
      <c r="W225" t="s">
        <v>54</v>
      </c>
      <c r="X225" s="22">
        <v>8216</v>
      </c>
      <c r="Y225" s="21" t="s">
        <v>55</v>
      </c>
    </row>
    <row r="226" spans="1:25" hidden="1" x14ac:dyDescent="0.25">
      <c r="B226" s="20">
        <v>46171</v>
      </c>
      <c r="C226" s="20">
        <v>46174</v>
      </c>
      <c r="D226" t="s">
        <v>980</v>
      </c>
      <c r="E226" t="s">
        <v>976</v>
      </c>
      <c r="F226" s="21" t="s">
        <v>977</v>
      </c>
      <c r="G226">
        <v>6100303914</v>
      </c>
      <c r="H226" t="s">
        <v>145</v>
      </c>
      <c r="I226" t="s">
        <v>74</v>
      </c>
      <c r="J226" s="56">
        <v>1231</v>
      </c>
      <c r="K226" s="56">
        <v>1277</v>
      </c>
      <c r="L226">
        <v>2</v>
      </c>
      <c r="M226" t="s">
        <v>147</v>
      </c>
      <c r="N226" t="s">
        <v>148</v>
      </c>
      <c r="O226" t="s">
        <v>50</v>
      </c>
      <c r="P226" t="s">
        <v>150</v>
      </c>
      <c r="Q226" t="s">
        <v>968</v>
      </c>
      <c r="R226" t="s">
        <v>151</v>
      </c>
      <c r="S226" t="s">
        <v>61</v>
      </c>
      <c r="U226" t="s">
        <v>53</v>
      </c>
      <c r="V226" t="s">
        <v>53</v>
      </c>
      <c r="W226" t="s">
        <v>54</v>
      </c>
      <c r="X226" s="22">
        <v>8217</v>
      </c>
      <c r="Y226" s="21" t="s">
        <v>55</v>
      </c>
    </row>
    <row r="227" spans="1:25" hidden="1" x14ac:dyDescent="0.25">
      <c r="B227" s="20">
        <v>46171</v>
      </c>
      <c r="C227" s="20">
        <v>46174</v>
      </c>
      <c r="D227" t="s">
        <v>980</v>
      </c>
      <c r="E227" t="s">
        <v>978</v>
      </c>
      <c r="F227" s="21" t="s">
        <v>979</v>
      </c>
      <c r="G227">
        <v>6100303914</v>
      </c>
      <c r="H227" t="s">
        <v>145</v>
      </c>
      <c r="I227" t="s">
        <v>656</v>
      </c>
      <c r="J227" s="56">
        <v>5120.13</v>
      </c>
      <c r="K227" s="56">
        <v>5522</v>
      </c>
      <c r="L227">
        <v>11</v>
      </c>
      <c r="M227" t="s">
        <v>147</v>
      </c>
      <c r="N227" t="s">
        <v>148</v>
      </c>
      <c r="O227" t="s">
        <v>657</v>
      </c>
      <c r="P227" t="s">
        <v>150</v>
      </c>
      <c r="Q227" t="s">
        <v>968</v>
      </c>
      <c r="R227" t="s">
        <v>151</v>
      </c>
      <c r="S227" t="s">
        <v>61</v>
      </c>
      <c r="U227" t="s">
        <v>53</v>
      </c>
      <c r="V227" t="s">
        <v>53</v>
      </c>
      <c r="W227" t="s">
        <v>54</v>
      </c>
      <c r="X227" s="22">
        <v>8218</v>
      </c>
      <c r="Y227" s="21" t="s">
        <v>55</v>
      </c>
    </row>
    <row r="228" spans="1:25" hidden="1" x14ac:dyDescent="0.25">
      <c r="B228" s="20">
        <v>46171</v>
      </c>
      <c r="C228" s="20">
        <v>46174</v>
      </c>
      <c r="D228" t="s">
        <v>980</v>
      </c>
      <c r="E228" t="s">
        <v>986</v>
      </c>
      <c r="F228" s="21" t="s">
        <v>987</v>
      </c>
      <c r="G228">
        <v>6100304053</v>
      </c>
      <c r="H228" t="s">
        <v>145</v>
      </c>
      <c r="I228" t="s">
        <v>146</v>
      </c>
      <c r="J228" s="56">
        <v>719.38</v>
      </c>
      <c r="K228" s="56">
        <v>758</v>
      </c>
      <c r="L228">
        <v>1</v>
      </c>
      <c r="M228" t="s">
        <v>147</v>
      </c>
      <c r="N228" t="s">
        <v>148</v>
      </c>
      <c r="O228" t="s">
        <v>149</v>
      </c>
      <c r="P228" t="s">
        <v>150</v>
      </c>
      <c r="Q228" t="s">
        <v>968</v>
      </c>
      <c r="R228" t="s">
        <v>151</v>
      </c>
      <c r="U228" t="s">
        <v>53</v>
      </c>
      <c r="V228" t="s">
        <v>53</v>
      </c>
      <c r="W228" t="s">
        <v>54</v>
      </c>
      <c r="X228" s="22">
        <v>8219</v>
      </c>
      <c r="Y228" s="21" t="s">
        <v>55</v>
      </c>
    </row>
    <row r="229" spans="1:25" hidden="1" x14ac:dyDescent="0.25">
      <c r="A229" t="s">
        <v>49</v>
      </c>
      <c r="B229" s="20">
        <v>46175</v>
      </c>
      <c r="C229" s="20">
        <v>46175</v>
      </c>
      <c r="D229" t="s">
        <v>985</v>
      </c>
      <c r="E229" t="s">
        <v>981</v>
      </c>
      <c r="F229" s="21" t="s">
        <v>982</v>
      </c>
      <c r="G229">
        <v>6100304060</v>
      </c>
      <c r="H229" t="s">
        <v>349</v>
      </c>
      <c r="I229" t="s">
        <v>357</v>
      </c>
      <c r="J229" s="56">
        <v>2614</v>
      </c>
      <c r="K229" s="56">
        <v>2761.5</v>
      </c>
      <c r="L229">
        <v>5</v>
      </c>
      <c r="M229" t="s">
        <v>351</v>
      </c>
      <c r="N229" t="s">
        <v>97</v>
      </c>
      <c r="O229" t="s">
        <v>358</v>
      </c>
      <c r="P229" t="s">
        <v>150</v>
      </c>
      <c r="Q229" t="s">
        <v>359</v>
      </c>
      <c r="R229" t="s">
        <v>354</v>
      </c>
      <c r="S229" t="s">
        <v>61</v>
      </c>
      <c r="T229" t="s">
        <v>276</v>
      </c>
      <c r="U229" t="s">
        <v>53</v>
      </c>
      <c r="V229" t="s">
        <v>53</v>
      </c>
      <c r="W229" t="s">
        <v>54</v>
      </c>
      <c r="X229" s="22">
        <v>8230</v>
      </c>
      <c r="Y229" s="21" t="s">
        <v>55</v>
      </c>
    </row>
    <row r="230" spans="1:25" hidden="1" x14ac:dyDescent="0.25">
      <c r="B230" s="20">
        <v>46175</v>
      </c>
      <c r="C230" s="20">
        <v>46175</v>
      </c>
      <c r="D230" t="s">
        <v>985</v>
      </c>
      <c r="E230" t="s">
        <v>983</v>
      </c>
      <c r="F230" s="21" t="s">
        <v>984</v>
      </c>
      <c r="G230">
        <v>6100304060</v>
      </c>
      <c r="H230" t="s">
        <v>349</v>
      </c>
      <c r="I230" t="s">
        <v>350</v>
      </c>
      <c r="J230" s="56">
        <v>17920.8</v>
      </c>
      <c r="K230" s="56">
        <v>19521</v>
      </c>
      <c r="L230">
        <v>27</v>
      </c>
      <c r="M230" t="s">
        <v>351</v>
      </c>
      <c r="N230" t="s">
        <v>97</v>
      </c>
      <c r="O230" t="s">
        <v>352</v>
      </c>
      <c r="P230" t="s">
        <v>150</v>
      </c>
      <c r="Q230" t="s">
        <v>353</v>
      </c>
      <c r="R230" t="s">
        <v>354</v>
      </c>
      <c r="S230" t="s">
        <v>61</v>
      </c>
      <c r="T230" t="s">
        <v>276</v>
      </c>
      <c r="U230" t="s">
        <v>53</v>
      </c>
      <c r="V230" t="s">
        <v>53</v>
      </c>
      <c r="W230" t="s">
        <v>54</v>
      </c>
      <c r="X230" s="22">
        <v>8231</v>
      </c>
      <c r="Y230" s="21" t="s">
        <v>55</v>
      </c>
    </row>
    <row r="231" spans="1:25" hidden="1" x14ac:dyDescent="0.25">
      <c r="A231" t="s">
        <v>49</v>
      </c>
      <c r="B231" s="20">
        <v>46175</v>
      </c>
      <c r="C231" s="20">
        <v>46176</v>
      </c>
      <c r="D231" t="s">
        <v>1002</v>
      </c>
      <c r="E231" t="s">
        <v>988</v>
      </c>
      <c r="F231" s="21" t="s">
        <v>989</v>
      </c>
      <c r="G231">
        <v>6100304061</v>
      </c>
      <c r="H231" t="s">
        <v>990</v>
      </c>
      <c r="I231" t="s">
        <v>73</v>
      </c>
      <c r="J231" s="56">
        <v>3242.5</v>
      </c>
      <c r="K231" s="56">
        <v>3513.5</v>
      </c>
      <c r="L231">
        <v>5</v>
      </c>
      <c r="M231" t="s">
        <v>991</v>
      </c>
      <c r="N231" t="s">
        <v>209</v>
      </c>
      <c r="O231" t="s">
        <v>50</v>
      </c>
      <c r="P231" t="s">
        <v>150</v>
      </c>
      <c r="Q231" t="s">
        <v>992</v>
      </c>
      <c r="R231" t="s">
        <v>993</v>
      </c>
      <c r="S231" t="s">
        <v>63</v>
      </c>
      <c r="U231" t="s">
        <v>53</v>
      </c>
      <c r="V231" t="s">
        <v>53</v>
      </c>
      <c r="W231" t="s">
        <v>54</v>
      </c>
      <c r="X231" s="22">
        <v>8220</v>
      </c>
      <c r="Y231" s="21" t="s">
        <v>55</v>
      </c>
    </row>
    <row r="232" spans="1:25" hidden="1" x14ac:dyDescent="0.25">
      <c r="A232" t="s">
        <v>60</v>
      </c>
      <c r="B232" s="20">
        <v>46175</v>
      </c>
      <c r="C232" s="20">
        <v>46176</v>
      </c>
      <c r="D232" t="s">
        <v>1002</v>
      </c>
      <c r="E232" t="s">
        <v>994</v>
      </c>
      <c r="F232" s="21" t="s">
        <v>995</v>
      </c>
      <c r="G232">
        <v>6100304062</v>
      </c>
      <c r="H232" t="s">
        <v>447</v>
      </c>
      <c r="I232" t="s">
        <v>448</v>
      </c>
      <c r="J232" s="56">
        <v>1565.92</v>
      </c>
      <c r="K232" s="56">
        <v>1728</v>
      </c>
      <c r="L232">
        <v>2</v>
      </c>
      <c r="M232" t="s">
        <v>449</v>
      </c>
      <c r="N232" t="s">
        <v>193</v>
      </c>
      <c r="O232" t="s">
        <v>450</v>
      </c>
      <c r="P232" t="s">
        <v>150</v>
      </c>
      <c r="Q232" t="s">
        <v>996</v>
      </c>
      <c r="R232" t="s">
        <v>58</v>
      </c>
      <c r="S232" t="s">
        <v>63</v>
      </c>
      <c r="U232" t="s">
        <v>53</v>
      </c>
      <c r="V232" t="s">
        <v>53</v>
      </c>
      <c r="W232" t="s">
        <v>54</v>
      </c>
      <c r="X232" s="22">
        <v>8221</v>
      </c>
      <c r="Y232" s="21" t="s">
        <v>55</v>
      </c>
    </row>
    <row r="233" spans="1:25" hidden="1" x14ac:dyDescent="0.25">
      <c r="A233" t="s">
        <v>64</v>
      </c>
      <c r="B233" s="20">
        <v>46175</v>
      </c>
      <c r="C233" s="20">
        <v>46176</v>
      </c>
      <c r="D233" t="s">
        <v>1002</v>
      </c>
      <c r="E233" t="s">
        <v>997</v>
      </c>
      <c r="F233" s="21" t="s">
        <v>998</v>
      </c>
      <c r="G233">
        <v>6100304063</v>
      </c>
      <c r="H233" t="s">
        <v>999</v>
      </c>
      <c r="I233" t="s">
        <v>350</v>
      </c>
      <c r="J233" s="56">
        <v>4577.3999999999996</v>
      </c>
      <c r="K233" s="56">
        <v>5007</v>
      </c>
      <c r="L233">
        <v>7</v>
      </c>
      <c r="M233" t="s">
        <v>192</v>
      </c>
      <c r="N233" t="s">
        <v>193</v>
      </c>
      <c r="O233" t="s">
        <v>352</v>
      </c>
      <c r="P233" t="s">
        <v>150</v>
      </c>
      <c r="Q233" t="s">
        <v>1000</v>
      </c>
      <c r="R233" t="s">
        <v>1001</v>
      </c>
      <c r="S233" t="s">
        <v>63</v>
      </c>
      <c r="U233" t="s">
        <v>53</v>
      </c>
      <c r="V233" t="s">
        <v>53</v>
      </c>
      <c r="W233" t="s">
        <v>54</v>
      </c>
      <c r="X233" s="22">
        <v>8222</v>
      </c>
      <c r="Y233" s="21" t="s">
        <v>55</v>
      </c>
    </row>
    <row r="234" spans="1:25" hidden="1" x14ac:dyDescent="0.25">
      <c r="A234" t="s">
        <v>65</v>
      </c>
      <c r="B234" s="20">
        <v>46175</v>
      </c>
      <c r="C234" s="20">
        <v>46177</v>
      </c>
      <c r="D234" t="s">
        <v>1002</v>
      </c>
      <c r="E234" t="s">
        <v>1003</v>
      </c>
      <c r="F234" s="21" t="s">
        <v>1004</v>
      </c>
      <c r="G234">
        <v>6100304064</v>
      </c>
      <c r="H234" t="s">
        <v>1009</v>
      </c>
      <c r="I234" t="s">
        <v>74</v>
      </c>
      <c r="J234" s="56">
        <v>1216.5</v>
      </c>
      <c r="K234" s="56">
        <v>1273.5</v>
      </c>
      <c r="L234">
        <v>2</v>
      </c>
      <c r="M234" t="s">
        <v>404</v>
      </c>
      <c r="N234" t="s">
        <v>148</v>
      </c>
      <c r="O234" t="s">
        <v>50</v>
      </c>
      <c r="Q234" t="s">
        <v>405</v>
      </c>
      <c r="R234" t="s">
        <v>406</v>
      </c>
      <c r="S234" t="s">
        <v>63</v>
      </c>
      <c r="U234" t="s">
        <v>53</v>
      </c>
      <c r="V234" t="s">
        <v>53</v>
      </c>
      <c r="W234" t="s">
        <v>54</v>
      </c>
      <c r="X234" s="22">
        <v>8224</v>
      </c>
      <c r="Y234" s="21" t="s">
        <v>55</v>
      </c>
    </row>
    <row r="235" spans="1:25" hidden="1" x14ac:dyDescent="0.25">
      <c r="A235" t="s">
        <v>71</v>
      </c>
      <c r="B235" s="20">
        <v>46175</v>
      </c>
      <c r="C235" s="20">
        <v>46177</v>
      </c>
      <c r="D235" t="s">
        <v>1002</v>
      </c>
      <c r="E235" t="s">
        <v>1005</v>
      </c>
      <c r="F235" s="21" t="s">
        <v>1006</v>
      </c>
      <c r="G235">
        <v>6100304065</v>
      </c>
      <c r="H235" t="s">
        <v>215</v>
      </c>
      <c r="I235" t="s">
        <v>73</v>
      </c>
      <c r="J235" s="56">
        <v>1292.5</v>
      </c>
      <c r="K235" s="56">
        <v>1402.5</v>
      </c>
      <c r="L235">
        <v>2</v>
      </c>
      <c r="M235" t="s">
        <v>216</v>
      </c>
      <c r="N235" t="s">
        <v>148</v>
      </c>
      <c r="O235" t="s">
        <v>50</v>
      </c>
      <c r="P235" t="s">
        <v>150</v>
      </c>
      <c r="Q235" t="s">
        <v>1007</v>
      </c>
      <c r="R235" t="s">
        <v>1008</v>
      </c>
      <c r="S235" t="s">
        <v>63</v>
      </c>
      <c r="U235" t="s">
        <v>53</v>
      </c>
      <c r="V235" t="s">
        <v>53</v>
      </c>
      <c r="W235" t="s">
        <v>54</v>
      </c>
      <c r="X235" s="22">
        <v>8223</v>
      </c>
      <c r="Y235" s="21" t="s">
        <v>55</v>
      </c>
    </row>
    <row r="236" spans="1:25" hidden="1" x14ac:dyDescent="0.25">
      <c r="A236" t="s">
        <v>49</v>
      </c>
      <c r="B236" s="20">
        <v>46175</v>
      </c>
      <c r="C236" s="20">
        <v>46176</v>
      </c>
      <c r="D236" t="s">
        <v>1018</v>
      </c>
      <c r="E236" t="s">
        <v>1010</v>
      </c>
      <c r="F236" s="21" t="s">
        <v>1011</v>
      </c>
      <c r="G236">
        <v>6100304787</v>
      </c>
      <c r="H236" t="s">
        <v>115</v>
      </c>
      <c r="I236" t="s">
        <v>183</v>
      </c>
      <c r="J236" s="56">
        <v>9685.2800000000007</v>
      </c>
      <c r="K236" s="56">
        <v>10375</v>
      </c>
      <c r="L236">
        <v>18</v>
      </c>
      <c r="M236" t="s">
        <v>104</v>
      </c>
      <c r="N236" t="s">
        <v>105</v>
      </c>
      <c r="O236" t="s">
        <v>184</v>
      </c>
      <c r="P236" t="s">
        <v>106</v>
      </c>
      <c r="Q236" t="s">
        <v>949</v>
      </c>
      <c r="R236" t="s">
        <v>119</v>
      </c>
      <c r="U236" t="s">
        <v>53</v>
      </c>
      <c r="V236" t="s">
        <v>53</v>
      </c>
      <c r="W236" t="s">
        <v>54</v>
      </c>
      <c r="X236" s="22">
        <v>8232</v>
      </c>
      <c r="Y236" s="21" t="s">
        <v>55</v>
      </c>
    </row>
    <row r="237" spans="1:25" hidden="1" x14ac:dyDescent="0.25">
      <c r="A237" t="s">
        <v>60</v>
      </c>
      <c r="B237" s="20">
        <v>46175</v>
      </c>
      <c r="C237" s="20">
        <v>46176</v>
      </c>
      <c r="D237" t="s">
        <v>1018</v>
      </c>
      <c r="E237" t="s">
        <v>1012</v>
      </c>
      <c r="F237" s="21" t="s">
        <v>1013</v>
      </c>
      <c r="G237">
        <v>6100304787</v>
      </c>
      <c r="H237" t="s">
        <v>1014</v>
      </c>
      <c r="I237" t="s">
        <v>68</v>
      </c>
      <c r="J237" s="56">
        <v>5884.5</v>
      </c>
      <c r="K237" s="56">
        <v>6377.5</v>
      </c>
      <c r="L237">
        <v>9</v>
      </c>
      <c r="M237" t="s">
        <v>519</v>
      </c>
      <c r="N237" t="s">
        <v>138</v>
      </c>
      <c r="O237" t="s">
        <v>50</v>
      </c>
      <c r="P237" t="s">
        <v>1015</v>
      </c>
      <c r="Q237" t="s">
        <v>1016</v>
      </c>
      <c r="R237" t="s">
        <v>1017</v>
      </c>
      <c r="U237" t="s">
        <v>53</v>
      </c>
      <c r="V237" t="s">
        <v>53</v>
      </c>
      <c r="W237" t="s">
        <v>54</v>
      </c>
      <c r="X237" s="22">
        <v>8233</v>
      </c>
      <c r="Y237" s="21" t="s">
        <v>55</v>
      </c>
    </row>
    <row r="238" spans="1:25" hidden="1" x14ac:dyDescent="0.25">
      <c r="A238" t="s">
        <v>49</v>
      </c>
      <c r="B238" s="20">
        <v>46176</v>
      </c>
      <c r="C238" s="20">
        <v>46178</v>
      </c>
      <c r="D238" t="s">
        <v>1031</v>
      </c>
      <c r="E238" t="s">
        <v>1019</v>
      </c>
      <c r="F238" s="21" t="s">
        <v>1020</v>
      </c>
      <c r="G238">
        <v>6100305155</v>
      </c>
      <c r="H238" t="s">
        <v>190</v>
      </c>
      <c r="I238" t="s">
        <v>68</v>
      </c>
      <c r="J238" s="56">
        <v>1329</v>
      </c>
      <c r="K238" s="56">
        <v>1441</v>
      </c>
      <c r="L238">
        <v>2</v>
      </c>
      <c r="M238" t="s">
        <v>192</v>
      </c>
      <c r="N238" t="s">
        <v>193</v>
      </c>
      <c r="O238" t="s">
        <v>50</v>
      </c>
      <c r="P238" t="s">
        <v>150</v>
      </c>
      <c r="Q238" t="s">
        <v>1021</v>
      </c>
      <c r="R238" t="s">
        <v>1022</v>
      </c>
      <c r="S238" t="s">
        <v>63</v>
      </c>
      <c r="U238" t="s">
        <v>53</v>
      </c>
      <c r="V238" t="s">
        <v>53</v>
      </c>
      <c r="W238" t="s">
        <v>54</v>
      </c>
      <c r="X238" s="22">
        <v>8234</v>
      </c>
      <c r="Y238" s="21" t="s">
        <v>55</v>
      </c>
    </row>
    <row r="239" spans="1:25" hidden="1" x14ac:dyDescent="0.25">
      <c r="B239" s="20">
        <v>46176</v>
      </c>
      <c r="C239" s="20">
        <v>46178</v>
      </c>
      <c r="D239" t="s">
        <v>1031</v>
      </c>
      <c r="E239" t="s">
        <v>1023</v>
      </c>
      <c r="F239" s="21" t="s">
        <v>1024</v>
      </c>
      <c r="G239">
        <v>6100305155</v>
      </c>
      <c r="H239" t="s">
        <v>190</v>
      </c>
      <c r="I239" t="s">
        <v>198</v>
      </c>
      <c r="J239" s="56">
        <v>3726.74</v>
      </c>
      <c r="K239" s="56">
        <v>3989.5</v>
      </c>
      <c r="L239">
        <v>7</v>
      </c>
      <c r="M239" t="s">
        <v>192</v>
      </c>
      <c r="N239" t="s">
        <v>193</v>
      </c>
      <c r="O239" t="s">
        <v>199</v>
      </c>
      <c r="P239" t="s">
        <v>150</v>
      </c>
      <c r="Q239" t="s">
        <v>1021</v>
      </c>
      <c r="R239" t="s">
        <v>1022</v>
      </c>
      <c r="S239" t="s">
        <v>63</v>
      </c>
      <c r="U239" t="s">
        <v>53</v>
      </c>
      <c r="V239" t="s">
        <v>53</v>
      </c>
      <c r="W239" t="s">
        <v>54</v>
      </c>
      <c r="X239" s="22">
        <v>8239</v>
      </c>
      <c r="Y239" s="21" t="s">
        <v>55</v>
      </c>
    </row>
    <row r="240" spans="1:25" hidden="1" x14ac:dyDescent="0.25">
      <c r="B240" s="20">
        <v>46176</v>
      </c>
      <c r="C240" s="20">
        <v>46178</v>
      </c>
      <c r="D240" t="s">
        <v>1031</v>
      </c>
      <c r="E240" t="s">
        <v>1025</v>
      </c>
      <c r="F240" s="21" t="s">
        <v>1026</v>
      </c>
      <c r="G240">
        <v>6100305155</v>
      </c>
      <c r="H240" t="s">
        <v>190</v>
      </c>
      <c r="I240" t="s">
        <v>479</v>
      </c>
      <c r="J240" s="56">
        <v>2173.1</v>
      </c>
      <c r="K240" s="56">
        <v>2283.5</v>
      </c>
      <c r="L240">
        <v>3</v>
      </c>
      <c r="M240" t="s">
        <v>192</v>
      </c>
      <c r="N240" t="s">
        <v>193</v>
      </c>
      <c r="O240" t="s">
        <v>480</v>
      </c>
      <c r="P240" t="s">
        <v>150</v>
      </c>
      <c r="Q240" t="s">
        <v>1021</v>
      </c>
      <c r="R240" t="s">
        <v>1022</v>
      </c>
      <c r="S240" t="s">
        <v>63</v>
      </c>
      <c r="U240" t="s">
        <v>53</v>
      </c>
      <c r="V240" t="s">
        <v>53</v>
      </c>
      <c r="W240" t="s">
        <v>54</v>
      </c>
      <c r="X240" s="22">
        <v>8235</v>
      </c>
      <c r="Y240" s="21" t="s">
        <v>55</v>
      </c>
    </row>
    <row r="241" spans="1:25" hidden="1" x14ac:dyDescent="0.25">
      <c r="B241" s="20">
        <v>46176</v>
      </c>
      <c r="C241" s="20">
        <v>46178</v>
      </c>
      <c r="D241" t="s">
        <v>1031</v>
      </c>
      <c r="E241" t="s">
        <v>1027</v>
      </c>
      <c r="F241" s="21" t="s">
        <v>1028</v>
      </c>
      <c r="G241">
        <v>6100305155</v>
      </c>
      <c r="H241" t="s">
        <v>190</v>
      </c>
      <c r="I241" t="s">
        <v>191</v>
      </c>
      <c r="J241" s="56">
        <v>2225.9</v>
      </c>
      <c r="K241" s="56">
        <v>2364.5</v>
      </c>
      <c r="L241">
        <v>4</v>
      </c>
      <c r="M241" t="s">
        <v>192</v>
      </c>
      <c r="N241" t="s">
        <v>193</v>
      </c>
      <c r="O241" t="s">
        <v>194</v>
      </c>
      <c r="P241" t="s">
        <v>150</v>
      </c>
      <c r="Q241" t="s">
        <v>1021</v>
      </c>
      <c r="R241" t="s">
        <v>1022</v>
      </c>
      <c r="S241" t="s">
        <v>63</v>
      </c>
      <c r="U241" t="s">
        <v>53</v>
      </c>
      <c r="V241" t="s">
        <v>53</v>
      </c>
      <c r="W241" t="s">
        <v>54</v>
      </c>
      <c r="X241" s="22">
        <v>8236</v>
      </c>
      <c r="Y241" s="21" t="s">
        <v>55</v>
      </c>
    </row>
    <row r="242" spans="1:25" hidden="1" x14ac:dyDescent="0.25">
      <c r="B242" s="20">
        <v>46176</v>
      </c>
      <c r="C242" s="20">
        <v>46178</v>
      </c>
      <c r="D242" t="s">
        <v>1031</v>
      </c>
      <c r="E242" t="s">
        <v>1029</v>
      </c>
      <c r="F242" s="21" t="s">
        <v>1030</v>
      </c>
      <c r="G242">
        <v>6100305155</v>
      </c>
      <c r="H242" t="s">
        <v>190</v>
      </c>
      <c r="I242" t="s">
        <v>74</v>
      </c>
      <c r="J242">
        <v>618.5</v>
      </c>
      <c r="K242">
        <v>642</v>
      </c>
      <c r="L242">
        <v>1</v>
      </c>
      <c r="M242" t="s">
        <v>192</v>
      </c>
      <c r="N242" t="s">
        <v>193</v>
      </c>
      <c r="O242" t="s">
        <v>50</v>
      </c>
      <c r="P242" t="s">
        <v>150</v>
      </c>
      <c r="Q242" t="s">
        <v>1021</v>
      </c>
      <c r="R242" t="s">
        <v>1022</v>
      </c>
      <c r="S242" t="s">
        <v>63</v>
      </c>
      <c r="U242" t="s">
        <v>53</v>
      </c>
      <c r="V242" t="s">
        <v>53</v>
      </c>
      <c r="W242" t="s">
        <v>54</v>
      </c>
      <c r="X242" s="22">
        <v>8237</v>
      </c>
      <c r="Y242" s="21" t="s">
        <v>55</v>
      </c>
    </row>
    <row r="243" spans="1:25" hidden="1" x14ac:dyDescent="0.25">
      <c r="A243" t="s">
        <v>49</v>
      </c>
      <c r="B243" s="20">
        <v>46178</v>
      </c>
      <c r="C243" s="20">
        <v>46181</v>
      </c>
      <c r="D243" t="s">
        <v>1038</v>
      </c>
      <c r="E243" t="s">
        <v>1032</v>
      </c>
      <c r="F243" s="21" t="s">
        <v>1033</v>
      </c>
      <c r="G243">
        <v>6100305156</v>
      </c>
      <c r="H243" t="s">
        <v>299</v>
      </c>
      <c r="I243" t="s">
        <v>300</v>
      </c>
      <c r="J243" s="56">
        <v>3008.8690000000001</v>
      </c>
      <c r="K243" s="56">
        <v>3174</v>
      </c>
      <c r="L243">
        <v>5</v>
      </c>
      <c r="M243" t="s">
        <v>301</v>
      </c>
      <c r="N243" t="s">
        <v>302</v>
      </c>
      <c r="O243" t="s">
        <v>303</v>
      </c>
      <c r="P243" t="s">
        <v>150</v>
      </c>
      <c r="Q243" t="s">
        <v>51</v>
      </c>
      <c r="R243" t="s">
        <v>608</v>
      </c>
      <c r="S243" t="s">
        <v>61</v>
      </c>
      <c r="T243" t="s">
        <v>255</v>
      </c>
      <c r="U243" t="s">
        <v>53</v>
      </c>
      <c r="V243" t="s">
        <v>53</v>
      </c>
      <c r="W243" t="s">
        <v>54</v>
      </c>
      <c r="X243" s="22">
        <v>8240</v>
      </c>
      <c r="Y243" s="21" t="s">
        <v>55</v>
      </c>
    </row>
    <row r="244" spans="1:25" hidden="1" x14ac:dyDescent="0.25">
      <c r="A244" t="s">
        <v>60</v>
      </c>
      <c r="B244" s="20">
        <v>46178</v>
      </c>
      <c r="C244" s="20">
        <v>46181</v>
      </c>
      <c r="D244" t="s">
        <v>1038</v>
      </c>
      <c r="E244" t="s">
        <v>1034</v>
      </c>
      <c r="F244" s="21" t="s">
        <v>1035</v>
      </c>
      <c r="G244">
        <v>6100305157</v>
      </c>
      <c r="H244" t="s">
        <v>307</v>
      </c>
      <c r="I244" t="s">
        <v>240</v>
      </c>
      <c r="J244" s="56">
        <v>15919.84</v>
      </c>
      <c r="K244" s="56">
        <v>16942</v>
      </c>
      <c r="L244">
        <v>25</v>
      </c>
      <c r="M244" t="s">
        <v>309</v>
      </c>
      <c r="N244" t="s">
        <v>302</v>
      </c>
      <c r="O244" t="s">
        <v>241</v>
      </c>
      <c r="P244" t="s">
        <v>106</v>
      </c>
      <c r="Q244" t="s">
        <v>1036</v>
      </c>
      <c r="R244" t="s">
        <v>1037</v>
      </c>
      <c r="S244" t="s">
        <v>61</v>
      </c>
      <c r="T244" t="s">
        <v>255</v>
      </c>
      <c r="U244" t="s">
        <v>53</v>
      </c>
      <c r="V244" t="s">
        <v>53</v>
      </c>
      <c r="W244" t="s">
        <v>54</v>
      </c>
      <c r="X244" s="22">
        <v>8238</v>
      </c>
      <c r="Y244" s="21" t="s">
        <v>55</v>
      </c>
    </row>
    <row r="245" spans="1:25" hidden="1" x14ac:dyDescent="0.25">
      <c r="A245" t="s">
        <v>49</v>
      </c>
      <c r="B245" s="20">
        <v>46178</v>
      </c>
      <c r="C245" s="20">
        <v>46178</v>
      </c>
      <c r="D245" t="s">
        <v>1042</v>
      </c>
      <c r="E245" t="s">
        <v>1039</v>
      </c>
      <c r="F245" s="21" t="s">
        <v>1040</v>
      </c>
      <c r="G245">
        <v>6100305262</v>
      </c>
      <c r="H245" t="s">
        <v>207</v>
      </c>
      <c r="I245" t="s">
        <v>99</v>
      </c>
      <c r="J245" s="56">
        <v>8537</v>
      </c>
      <c r="K245" s="56">
        <v>9271.5</v>
      </c>
      <c r="L245">
        <v>13</v>
      </c>
      <c r="M245" t="s">
        <v>208</v>
      </c>
      <c r="N245" t="s">
        <v>209</v>
      </c>
      <c r="O245" t="s">
        <v>75</v>
      </c>
      <c r="P245" t="s">
        <v>150</v>
      </c>
      <c r="Q245" t="s">
        <v>1041</v>
      </c>
      <c r="R245" t="s">
        <v>58</v>
      </c>
      <c r="S245" t="s">
        <v>63</v>
      </c>
      <c r="U245" t="s">
        <v>53</v>
      </c>
      <c r="V245" t="s">
        <v>53</v>
      </c>
      <c r="W245" t="s">
        <v>54</v>
      </c>
      <c r="X245" s="22">
        <v>8241</v>
      </c>
      <c r="Y245" s="21" t="s">
        <v>55</v>
      </c>
    </row>
    <row r="246" spans="1:25" hidden="1" x14ac:dyDescent="0.25">
      <c r="A246" t="s">
        <v>49</v>
      </c>
      <c r="B246" s="20">
        <v>46178</v>
      </c>
      <c r="C246" s="20">
        <v>46181</v>
      </c>
      <c r="D246" t="s">
        <v>1045</v>
      </c>
      <c r="E246" t="s">
        <v>1043</v>
      </c>
      <c r="F246" s="21" t="s">
        <v>1044</v>
      </c>
      <c r="G246">
        <v>6100305610</v>
      </c>
      <c r="H246" t="s">
        <v>321</v>
      </c>
      <c r="I246" t="s">
        <v>73</v>
      </c>
      <c r="J246" s="56">
        <v>25133.7</v>
      </c>
      <c r="K246" s="56">
        <v>27265.5</v>
      </c>
      <c r="L246">
        <v>39</v>
      </c>
      <c r="M246" t="s">
        <v>323</v>
      </c>
      <c r="N246" t="s">
        <v>138</v>
      </c>
      <c r="O246" t="s">
        <v>50</v>
      </c>
      <c r="P246" t="s">
        <v>325</v>
      </c>
      <c r="Q246" t="s">
        <v>51</v>
      </c>
      <c r="R246" t="s">
        <v>326</v>
      </c>
      <c r="S246" t="s">
        <v>61</v>
      </c>
      <c r="T246" t="s">
        <v>255</v>
      </c>
      <c r="U246" t="s">
        <v>53</v>
      </c>
      <c r="V246" t="s">
        <v>53</v>
      </c>
      <c r="W246" t="s">
        <v>54</v>
      </c>
      <c r="X246" s="22">
        <v>8250</v>
      </c>
      <c r="Y246" s="21" t="s">
        <v>55</v>
      </c>
    </row>
    <row r="247" spans="1:25" hidden="1" x14ac:dyDescent="0.25">
      <c r="A247" t="s">
        <v>49</v>
      </c>
      <c r="B247" s="20">
        <v>46178</v>
      </c>
      <c r="C247" s="20">
        <v>46181</v>
      </c>
      <c r="D247" t="s">
        <v>1050</v>
      </c>
      <c r="E247" t="s">
        <v>1046</v>
      </c>
      <c r="F247" s="21" t="s">
        <v>1047</v>
      </c>
      <c r="G247">
        <v>6100305611</v>
      </c>
      <c r="H247" t="s">
        <v>321</v>
      </c>
      <c r="I247" t="s">
        <v>73</v>
      </c>
      <c r="J247" s="56">
        <v>12864</v>
      </c>
      <c r="K247" s="56">
        <v>13949</v>
      </c>
      <c r="L247">
        <v>20</v>
      </c>
      <c r="M247" t="s">
        <v>323</v>
      </c>
      <c r="N247" t="s">
        <v>138</v>
      </c>
      <c r="O247" t="s">
        <v>50</v>
      </c>
      <c r="P247" t="s">
        <v>325</v>
      </c>
      <c r="Q247" t="s">
        <v>51</v>
      </c>
      <c r="R247" t="s">
        <v>326</v>
      </c>
      <c r="S247" t="s">
        <v>61</v>
      </c>
      <c r="U247" t="s">
        <v>53</v>
      </c>
      <c r="V247" t="s">
        <v>53</v>
      </c>
      <c r="W247" t="s">
        <v>54</v>
      </c>
      <c r="X247" s="22">
        <v>8249</v>
      </c>
      <c r="Y247" s="21" t="s">
        <v>55</v>
      </c>
    </row>
    <row r="248" spans="1:25" hidden="1" x14ac:dyDescent="0.25">
      <c r="B248" s="20">
        <v>46178</v>
      </c>
      <c r="C248" s="20">
        <v>46181</v>
      </c>
      <c r="D248" t="s">
        <v>1050</v>
      </c>
      <c r="E248" t="s">
        <v>1048</v>
      </c>
      <c r="F248" s="21" t="s">
        <v>1049</v>
      </c>
      <c r="G248">
        <v>6100305611</v>
      </c>
      <c r="H248" t="s">
        <v>321</v>
      </c>
      <c r="I248" t="s">
        <v>68</v>
      </c>
      <c r="J248" s="56">
        <v>12431.5</v>
      </c>
      <c r="K248" s="56">
        <v>13479.5</v>
      </c>
      <c r="L248">
        <v>19</v>
      </c>
      <c r="M248" t="s">
        <v>323</v>
      </c>
      <c r="N248" t="s">
        <v>138</v>
      </c>
      <c r="O248" t="s">
        <v>50</v>
      </c>
      <c r="P248" t="s">
        <v>325</v>
      </c>
      <c r="Q248" t="s">
        <v>51</v>
      </c>
      <c r="R248" t="s">
        <v>326</v>
      </c>
      <c r="S248" t="s">
        <v>61</v>
      </c>
      <c r="U248" t="s">
        <v>53</v>
      </c>
      <c r="V248" t="s">
        <v>53</v>
      </c>
      <c r="W248" t="s">
        <v>54</v>
      </c>
      <c r="X248" s="22">
        <v>8266</v>
      </c>
      <c r="Y248" s="21" t="s">
        <v>55</v>
      </c>
    </row>
    <row r="249" spans="1:25" hidden="1" x14ac:dyDescent="0.25">
      <c r="A249" t="s">
        <v>49</v>
      </c>
      <c r="B249" s="20">
        <v>46181</v>
      </c>
      <c r="C249" s="20">
        <v>46182</v>
      </c>
      <c r="D249" t="s">
        <v>1065</v>
      </c>
      <c r="E249" t="s">
        <v>1051</v>
      </c>
      <c r="F249" s="21" t="s">
        <v>1052</v>
      </c>
      <c r="G249">
        <v>6100305612</v>
      </c>
      <c r="H249" t="s">
        <v>785</v>
      </c>
      <c r="I249" t="s">
        <v>67</v>
      </c>
      <c r="J249" s="56">
        <v>3847.7</v>
      </c>
      <c r="K249" s="56">
        <v>4161</v>
      </c>
      <c r="L249">
        <v>6</v>
      </c>
      <c r="M249" t="s">
        <v>786</v>
      </c>
      <c r="N249" t="s">
        <v>138</v>
      </c>
      <c r="O249" t="s">
        <v>56</v>
      </c>
      <c r="P249" t="s">
        <v>1053</v>
      </c>
      <c r="Q249" t="s">
        <v>1054</v>
      </c>
      <c r="R249" t="s">
        <v>788</v>
      </c>
      <c r="S249" t="s">
        <v>61</v>
      </c>
      <c r="T249" t="s">
        <v>276</v>
      </c>
      <c r="U249" t="s">
        <v>53</v>
      </c>
      <c r="V249" t="s">
        <v>53</v>
      </c>
      <c r="W249" t="s">
        <v>54</v>
      </c>
      <c r="X249" s="22">
        <v>8277</v>
      </c>
      <c r="Y249" s="21" t="s">
        <v>55</v>
      </c>
    </row>
    <row r="250" spans="1:25" hidden="1" x14ac:dyDescent="0.25">
      <c r="A250" t="s">
        <v>60</v>
      </c>
      <c r="B250" s="20">
        <v>46181</v>
      </c>
      <c r="C250" s="20">
        <v>46183</v>
      </c>
      <c r="D250" t="s">
        <v>1065</v>
      </c>
      <c r="E250" t="s">
        <v>1060</v>
      </c>
      <c r="F250" s="21" t="s">
        <v>1061</v>
      </c>
      <c r="G250">
        <v>6100305613</v>
      </c>
      <c r="H250" t="s">
        <v>1062</v>
      </c>
      <c r="I250" t="s">
        <v>350</v>
      </c>
      <c r="J250" s="56">
        <v>3300</v>
      </c>
      <c r="K250" s="56">
        <v>3596.5</v>
      </c>
      <c r="L250">
        <v>5</v>
      </c>
      <c r="M250" t="s">
        <v>1063</v>
      </c>
      <c r="N250" t="s">
        <v>138</v>
      </c>
      <c r="O250" t="s">
        <v>352</v>
      </c>
      <c r="P250" t="s">
        <v>1053</v>
      </c>
      <c r="Q250" t="s">
        <v>1064</v>
      </c>
      <c r="S250" t="s">
        <v>61</v>
      </c>
      <c r="T250" t="s">
        <v>276</v>
      </c>
      <c r="U250" t="s">
        <v>53</v>
      </c>
      <c r="V250" t="s">
        <v>53</v>
      </c>
      <c r="W250" t="s">
        <v>54</v>
      </c>
      <c r="X250" s="22">
        <v>8270</v>
      </c>
      <c r="Y250" s="21" t="s">
        <v>55</v>
      </c>
    </row>
    <row r="251" spans="1:25" hidden="1" x14ac:dyDescent="0.25">
      <c r="A251" t="s">
        <v>64</v>
      </c>
      <c r="B251" s="20">
        <v>46181</v>
      </c>
      <c r="C251" s="20">
        <v>46183</v>
      </c>
      <c r="D251" t="s">
        <v>1065</v>
      </c>
      <c r="E251" t="s">
        <v>1055</v>
      </c>
      <c r="F251" s="21" t="s">
        <v>1056</v>
      </c>
      <c r="G251">
        <v>6100305614</v>
      </c>
      <c r="H251" t="s">
        <v>835</v>
      </c>
      <c r="I251" t="s">
        <v>429</v>
      </c>
      <c r="J251">
        <v>1858.5</v>
      </c>
      <c r="K251">
        <v>1939</v>
      </c>
      <c r="L251">
        <v>3</v>
      </c>
      <c r="M251" t="s">
        <v>727</v>
      </c>
      <c r="N251" t="s">
        <v>138</v>
      </c>
      <c r="O251" t="s">
        <v>56</v>
      </c>
      <c r="P251" t="s">
        <v>1053</v>
      </c>
      <c r="Q251" t="s">
        <v>1057</v>
      </c>
      <c r="R251" t="s">
        <v>729</v>
      </c>
      <c r="S251" t="s">
        <v>61</v>
      </c>
      <c r="T251" t="s">
        <v>276</v>
      </c>
      <c r="U251" t="s">
        <v>53</v>
      </c>
      <c r="V251" t="s">
        <v>53</v>
      </c>
      <c r="W251" t="s">
        <v>54</v>
      </c>
      <c r="X251" s="22">
        <v>8251</v>
      </c>
      <c r="Y251" s="21" t="s">
        <v>55</v>
      </c>
    </row>
    <row r="252" spans="1:25" hidden="1" x14ac:dyDescent="0.25">
      <c r="A252" t="s">
        <v>65</v>
      </c>
      <c r="B252" s="20">
        <v>46181</v>
      </c>
      <c r="C252" s="20">
        <v>46184</v>
      </c>
      <c r="D252" t="s">
        <v>1065</v>
      </c>
      <c r="E252" t="s">
        <v>848</v>
      </c>
      <c r="F252" s="21" t="s">
        <v>1058</v>
      </c>
      <c r="G252">
        <v>6100305615</v>
      </c>
      <c r="H252" t="s">
        <v>441</v>
      </c>
      <c r="I252" t="s">
        <v>850</v>
      </c>
      <c r="J252">
        <v>6621.12</v>
      </c>
      <c r="K252">
        <v>7109</v>
      </c>
      <c r="L252">
        <v>9</v>
      </c>
      <c r="M252" t="s">
        <v>519</v>
      </c>
      <c r="N252" t="s">
        <v>138</v>
      </c>
      <c r="O252" t="s">
        <v>1059</v>
      </c>
      <c r="P252" t="s">
        <v>325</v>
      </c>
      <c r="Q252" t="s">
        <v>51</v>
      </c>
      <c r="R252" t="s">
        <v>521</v>
      </c>
      <c r="S252" t="s">
        <v>61</v>
      </c>
      <c r="T252" t="s">
        <v>276</v>
      </c>
      <c r="U252" t="s">
        <v>53</v>
      </c>
      <c r="V252" t="s">
        <v>53</v>
      </c>
      <c r="W252" t="s">
        <v>54</v>
      </c>
      <c r="X252" s="22">
        <v>8278</v>
      </c>
      <c r="Y252" s="21" t="s">
        <v>55</v>
      </c>
    </row>
    <row r="253" spans="1:25" hidden="1" x14ac:dyDescent="0.25">
      <c r="A253" t="s">
        <v>49</v>
      </c>
      <c r="B253" s="20">
        <v>46182</v>
      </c>
      <c r="C253" s="20">
        <v>46183</v>
      </c>
      <c r="D253" t="s">
        <v>1072</v>
      </c>
      <c r="E253" t="s">
        <v>1066</v>
      </c>
      <c r="F253" s="21" t="s">
        <v>1067</v>
      </c>
      <c r="G253">
        <v>6100305616</v>
      </c>
      <c r="H253" t="s">
        <v>115</v>
      </c>
      <c r="I253" t="s">
        <v>240</v>
      </c>
      <c r="J253" s="56">
        <v>12706.78</v>
      </c>
      <c r="K253" s="56">
        <v>13525.5</v>
      </c>
      <c r="L253">
        <v>20</v>
      </c>
      <c r="M253" t="s">
        <v>104</v>
      </c>
      <c r="N253" t="s">
        <v>105</v>
      </c>
      <c r="O253" t="s">
        <v>241</v>
      </c>
      <c r="P253" t="s">
        <v>106</v>
      </c>
      <c r="Q253" t="s">
        <v>949</v>
      </c>
      <c r="R253" t="s">
        <v>119</v>
      </c>
      <c r="S253" t="s">
        <v>61</v>
      </c>
      <c r="U253" t="s">
        <v>53</v>
      </c>
      <c r="V253" t="s">
        <v>53</v>
      </c>
      <c r="W253" t="s">
        <v>54</v>
      </c>
      <c r="X253" s="22">
        <v>8253</v>
      </c>
    </row>
    <row r="254" spans="1:25" hidden="1" x14ac:dyDescent="0.25">
      <c r="B254" s="20">
        <v>46182</v>
      </c>
      <c r="C254" s="20">
        <v>46183</v>
      </c>
      <c r="D254" t="s">
        <v>1072</v>
      </c>
      <c r="E254" t="s">
        <v>1068</v>
      </c>
      <c r="F254" s="21" t="s">
        <v>1069</v>
      </c>
      <c r="G254">
        <v>6100305616</v>
      </c>
      <c r="H254" t="s">
        <v>115</v>
      </c>
      <c r="I254" t="s">
        <v>122</v>
      </c>
      <c r="J254" s="56">
        <v>3881.1</v>
      </c>
      <c r="K254" s="56">
        <v>4295</v>
      </c>
      <c r="L254">
        <v>8</v>
      </c>
      <c r="M254" t="s">
        <v>104</v>
      </c>
      <c r="N254" t="s">
        <v>105</v>
      </c>
      <c r="O254" t="s">
        <v>69</v>
      </c>
      <c r="P254" t="s">
        <v>106</v>
      </c>
      <c r="Q254" t="s">
        <v>949</v>
      </c>
      <c r="R254" t="s">
        <v>119</v>
      </c>
      <c r="S254" t="s">
        <v>61</v>
      </c>
      <c r="U254" t="s">
        <v>53</v>
      </c>
      <c r="V254" t="s">
        <v>53</v>
      </c>
      <c r="W254" t="s">
        <v>54</v>
      </c>
      <c r="X254" s="22">
        <v>8260</v>
      </c>
    </row>
    <row r="255" spans="1:25" hidden="1" x14ac:dyDescent="0.25">
      <c r="B255" s="20">
        <v>46182</v>
      </c>
      <c r="C255" s="20">
        <v>46183</v>
      </c>
      <c r="D255" t="s">
        <v>1072</v>
      </c>
      <c r="E255" t="s">
        <v>1070</v>
      </c>
      <c r="F255" s="21" t="s">
        <v>1071</v>
      </c>
      <c r="G255">
        <v>6100305616</v>
      </c>
      <c r="H255" t="s">
        <v>115</v>
      </c>
      <c r="I255" t="s">
        <v>68</v>
      </c>
      <c r="J255" s="56">
        <v>5843.5</v>
      </c>
      <c r="K255" s="56">
        <v>6348</v>
      </c>
      <c r="L255">
        <v>9</v>
      </c>
      <c r="M255" t="s">
        <v>104</v>
      </c>
      <c r="N255" t="s">
        <v>105</v>
      </c>
      <c r="O255" t="s">
        <v>50</v>
      </c>
      <c r="P255" t="s">
        <v>106</v>
      </c>
      <c r="Q255" t="s">
        <v>949</v>
      </c>
      <c r="R255" t="s">
        <v>119</v>
      </c>
      <c r="S255" t="s">
        <v>61</v>
      </c>
      <c r="U255" t="s">
        <v>53</v>
      </c>
      <c r="V255" t="s">
        <v>53</v>
      </c>
      <c r="W255" t="s">
        <v>54</v>
      </c>
      <c r="X255" s="22">
        <v>8262</v>
      </c>
    </row>
    <row r="256" spans="1:25" hidden="1" x14ac:dyDescent="0.25">
      <c r="A256" t="s">
        <v>49</v>
      </c>
      <c r="B256" s="20">
        <v>46181</v>
      </c>
      <c r="C256" s="20">
        <v>46183</v>
      </c>
      <c r="D256" t="s">
        <v>1079</v>
      </c>
      <c r="E256" t="s">
        <v>1073</v>
      </c>
      <c r="F256" s="21" t="s">
        <v>1074</v>
      </c>
      <c r="G256">
        <v>6100305617</v>
      </c>
      <c r="H256" t="s">
        <v>307</v>
      </c>
      <c r="I256" t="s">
        <v>226</v>
      </c>
      <c r="J256" s="56">
        <v>4006.14</v>
      </c>
      <c r="K256" s="56">
        <v>4241.12</v>
      </c>
      <c r="L256">
        <v>8</v>
      </c>
      <c r="M256" t="s">
        <v>309</v>
      </c>
      <c r="N256" t="s">
        <v>302</v>
      </c>
      <c r="O256" t="s">
        <v>227</v>
      </c>
      <c r="P256" t="s">
        <v>106</v>
      </c>
      <c r="Q256" t="s">
        <v>1036</v>
      </c>
      <c r="R256" t="s">
        <v>1037</v>
      </c>
      <c r="S256" t="s">
        <v>61</v>
      </c>
      <c r="T256" t="s">
        <v>258</v>
      </c>
      <c r="U256" t="s">
        <v>53</v>
      </c>
      <c r="V256" t="s">
        <v>53</v>
      </c>
      <c r="W256" t="s">
        <v>54</v>
      </c>
      <c r="X256" s="22">
        <v>8252</v>
      </c>
    </row>
    <row r="257" spans="1:25" hidden="1" x14ac:dyDescent="0.25">
      <c r="B257" s="20">
        <v>46181</v>
      </c>
      <c r="C257" s="20">
        <v>46183</v>
      </c>
      <c r="D257" t="s">
        <v>1079</v>
      </c>
      <c r="E257" t="s">
        <v>1075</v>
      </c>
      <c r="F257" s="21" t="s">
        <v>1076</v>
      </c>
      <c r="G257">
        <v>6100305617</v>
      </c>
      <c r="H257" t="s">
        <v>307</v>
      </c>
      <c r="I257" t="s">
        <v>490</v>
      </c>
      <c r="J257" s="56">
        <v>14534.76</v>
      </c>
      <c r="K257" s="56">
        <v>15581.6</v>
      </c>
      <c r="L257">
        <v>29</v>
      </c>
      <c r="M257" t="s">
        <v>309</v>
      </c>
      <c r="N257" t="s">
        <v>302</v>
      </c>
      <c r="O257" t="s">
        <v>492</v>
      </c>
      <c r="P257" t="s">
        <v>106</v>
      </c>
      <c r="Q257" t="s">
        <v>1036</v>
      </c>
      <c r="R257" t="s">
        <v>1037</v>
      </c>
      <c r="S257" t="s">
        <v>61</v>
      </c>
      <c r="T257" t="s">
        <v>258</v>
      </c>
      <c r="U257" t="s">
        <v>53</v>
      </c>
      <c r="V257" t="s">
        <v>53</v>
      </c>
      <c r="W257" t="s">
        <v>54</v>
      </c>
      <c r="X257" s="22">
        <v>8261</v>
      </c>
    </row>
    <row r="258" spans="1:25" hidden="1" x14ac:dyDescent="0.25">
      <c r="B258" s="20">
        <v>46181</v>
      </c>
      <c r="C258" s="20">
        <v>46183</v>
      </c>
      <c r="D258" t="s">
        <v>1079</v>
      </c>
      <c r="E258" t="s">
        <v>1077</v>
      </c>
      <c r="F258" s="21" t="s">
        <v>1078</v>
      </c>
      <c r="G258">
        <v>6100305617</v>
      </c>
      <c r="H258" t="s">
        <v>307</v>
      </c>
      <c r="I258" t="s">
        <v>122</v>
      </c>
      <c r="J258" s="56">
        <v>2909.7</v>
      </c>
      <c r="K258" s="56">
        <v>3223</v>
      </c>
      <c r="L258">
        <v>6</v>
      </c>
      <c r="M258" t="s">
        <v>309</v>
      </c>
      <c r="N258" t="s">
        <v>302</v>
      </c>
      <c r="O258" t="s">
        <v>69</v>
      </c>
      <c r="P258" t="s">
        <v>106</v>
      </c>
      <c r="Q258" t="s">
        <v>1036</v>
      </c>
      <c r="R258" t="s">
        <v>1037</v>
      </c>
      <c r="S258" t="s">
        <v>61</v>
      </c>
      <c r="T258" t="s">
        <v>258</v>
      </c>
      <c r="U258" t="s">
        <v>53</v>
      </c>
      <c r="V258" t="s">
        <v>53</v>
      </c>
      <c r="W258" t="s">
        <v>54</v>
      </c>
      <c r="X258" s="22">
        <v>8264</v>
      </c>
    </row>
    <row r="259" spans="1:25" hidden="1" x14ac:dyDescent="0.25">
      <c r="A259" t="s">
        <v>49</v>
      </c>
      <c r="B259" s="20">
        <v>46182</v>
      </c>
      <c r="C259" s="20">
        <v>46183</v>
      </c>
      <c r="D259" t="s">
        <v>1082</v>
      </c>
      <c r="E259" t="s">
        <v>1080</v>
      </c>
      <c r="F259" s="21" t="s">
        <v>1081</v>
      </c>
      <c r="G259">
        <v>6100305618</v>
      </c>
      <c r="H259" t="s">
        <v>174</v>
      </c>
      <c r="I259" t="s">
        <v>240</v>
      </c>
      <c r="J259" s="56">
        <v>15488.9</v>
      </c>
      <c r="K259" s="56">
        <v>16566</v>
      </c>
      <c r="L259">
        <v>25</v>
      </c>
      <c r="M259" t="s">
        <v>175</v>
      </c>
      <c r="N259" t="s">
        <v>97</v>
      </c>
      <c r="O259" t="s">
        <v>241</v>
      </c>
      <c r="P259" t="s">
        <v>106</v>
      </c>
      <c r="Q259" t="s">
        <v>949</v>
      </c>
      <c r="R259" t="s">
        <v>176</v>
      </c>
      <c r="S259" t="s">
        <v>61</v>
      </c>
      <c r="U259" t="s">
        <v>53</v>
      </c>
      <c r="V259" t="s">
        <v>53</v>
      </c>
      <c r="W259" t="s">
        <v>54</v>
      </c>
      <c r="X259" s="22">
        <v>8254</v>
      </c>
      <c r="Y259" s="21" t="s">
        <v>55</v>
      </c>
    </row>
    <row r="260" spans="1:25" hidden="1" x14ac:dyDescent="0.25">
      <c r="B260" s="20">
        <v>46182</v>
      </c>
      <c r="C260" s="20">
        <v>46183</v>
      </c>
      <c r="D260" t="s">
        <v>1082</v>
      </c>
      <c r="E260" t="s">
        <v>1083</v>
      </c>
      <c r="F260" s="21" t="s">
        <v>1084</v>
      </c>
      <c r="G260">
        <v>6100305618</v>
      </c>
      <c r="H260" t="s">
        <v>174</v>
      </c>
      <c r="I260" t="s">
        <v>183</v>
      </c>
      <c r="J260" s="56">
        <v>7561.56</v>
      </c>
      <c r="K260" s="56">
        <v>8093.5</v>
      </c>
      <c r="L260">
        <v>14</v>
      </c>
      <c r="M260" t="s">
        <v>175</v>
      </c>
      <c r="N260" t="s">
        <v>97</v>
      </c>
      <c r="O260" t="s">
        <v>184</v>
      </c>
      <c r="P260" t="s">
        <v>106</v>
      </c>
      <c r="Q260" t="s">
        <v>949</v>
      </c>
      <c r="R260" t="s">
        <v>176</v>
      </c>
      <c r="S260" t="s">
        <v>61</v>
      </c>
      <c r="U260" t="s">
        <v>53</v>
      </c>
      <c r="V260" t="s">
        <v>53</v>
      </c>
      <c r="W260" t="s">
        <v>54</v>
      </c>
      <c r="X260" s="22">
        <v>8258</v>
      </c>
      <c r="Y260" s="21" t="s">
        <v>55</v>
      </c>
    </row>
    <row r="261" spans="1:25" hidden="1" x14ac:dyDescent="0.25">
      <c r="A261" t="s">
        <v>49</v>
      </c>
      <c r="B261" s="20">
        <v>46178</v>
      </c>
      <c r="C261" s="20">
        <v>46183</v>
      </c>
      <c r="D261" t="s">
        <v>1089</v>
      </c>
      <c r="E261" t="s">
        <v>1085</v>
      </c>
      <c r="F261" s="21" t="s">
        <v>1086</v>
      </c>
      <c r="G261">
        <v>6100305619</v>
      </c>
      <c r="H261" t="s">
        <v>222</v>
      </c>
      <c r="I261" t="s">
        <v>344</v>
      </c>
      <c r="J261" s="56">
        <v>19358.02</v>
      </c>
      <c r="K261" s="56">
        <v>20778.5</v>
      </c>
      <c r="L261">
        <v>39</v>
      </c>
      <c r="M261" t="s">
        <v>216</v>
      </c>
      <c r="N261" t="s">
        <v>148</v>
      </c>
      <c r="O261" t="s">
        <v>345</v>
      </c>
      <c r="P261" t="s">
        <v>106</v>
      </c>
      <c r="Q261" t="s">
        <v>949</v>
      </c>
      <c r="R261" t="s">
        <v>223</v>
      </c>
      <c r="S261" t="s">
        <v>61</v>
      </c>
      <c r="U261" t="s">
        <v>53</v>
      </c>
      <c r="V261" t="s">
        <v>53</v>
      </c>
      <c r="W261" t="s">
        <v>54</v>
      </c>
      <c r="X261" s="22">
        <v>8256</v>
      </c>
      <c r="Y261" s="21" t="s">
        <v>55</v>
      </c>
    </row>
    <row r="262" spans="1:25" hidden="1" x14ac:dyDescent="0.25">
      <c r="B262" s="20">
        <v>46178</v>
      </c>
      <c r="C262" s="20">
        <v>46183</v>
      </c>
      <c r="D262" t="s">
        <v>1089</v>
      </c>
      <c r="E262" t="s">
        <v>1087</v>
      </c>
      <c r="F262" s="21" t="s">
        <v>1088</v>
      </c>
      <c r="G262">
        <v>6100305619</v>
      </c>
      <c r="H262" t="s">
        <v>222</v>
      </c>
      <c r="I262" t="s">
        <v>116</v>
      </c>
      <c r="J262" s="56">
        <v>2613.52</v>
      </c>
      <c r="K262" s="56">
        <v>2823</v>
      </c>
      <c r="L262">
        <v>6</v>
      </c>
      <c r="M262" t="s">
        <v>216</v>
      </c>
      <c r="N262" t="s">
        <v>148</v>
      </c>
      <c r="O262" t="s">
        <v>117</v>
      </c>
      <c r="P262" t="s">
        <v>106</v>
      </c>
      <c r="Q262" t="s">
        <v>949</v>
      </c>
      <c r="R262" t="s">
        <v>223</v>
      </c>
      <c r="S262" t="s">
        <v>61</v>
      </c>
      <c r="U262" t="s">
        <v>53</v>
      </c>
      <c r="V262" t="s">
        <v>53</v>
      </c>
      <c r="W262" t="s">
        <v>54</v>
      </c>
      <c r="X262" s="22">
        <v>8259</v>
      </c>
      <c r="Y262" s="21" t="s">
        <v>55</v>
      </c>
    </row>
    <row r="263" spans="1:25" hidden="1" x14ac:dyDescent="0.25">
      <c r="A263" t="s">
        <v>49</v>
      </c>
      <c r="B263" s="20">
        <v>46178</v>
      </c>
      <c r="C263" s="20">
        <v>46181</v>
      </c>
      <c r="D263" t="s">
        <v>1104</v>
      </c>
      <c r="E263" t="s">
        <v>1090</v>
      </c>
      <c r="F263" s="21" t="s">
        <v>1091</v>
      </c>
      <c r="G263">
        <v>6100305620</v>
      </c>
      <c r="H263" t="s">
        <v>415</v>
      </c>
      <c r="I263" t="s">
        <v>67</v>
      </c>
      <c r="J263" s="56">
        <v>1281.9000000000001</v>
      </c>
      <c r="K263" s="56">
        <v>1385</v>
      </c>
      <c r="L263">
        <v>2</v>
      </c>
      <c r="M263" t="s">
        <v>416</v>
      </c>
      <c r="N263" t="s">
        <v>148</v>
      </c>
      <c r="O263" t="s">
        <v>56</v>
      </c>
      <c r="P263" t="s">
        <v>150</v>
      </c>
      <c r="Q263" t="s">
        <v>1092</v>
      </c>
      <c r="R263" t="s">
        <v>1093</v>
      </c>
      <c r="S263" t="s">
        <v>61</v>
      </c>
      <c r="U263" t="s">
        <v>53</v>
      </c>
      <c r="V263" t="s">
        <v>53</v>
      </c>
      <c r="W263" t="s">
        <v>54</v>
      </c>
      <c r="X263" s="22">
        <v>8255</v>
      </c>
      <c r="Y263" s="21" t="s">
        <v>55</v>
      </c>
    </row>
    <row r="264" spans="1:25" hidden="1" x14ac:dyDescent="0.25">
      <c r="A264" t="s">
        <v>60</v>
      </c>
      <c r="B264" s="20">
        <v>46178</v>
      </c>
      <c r="C264" s="20">
        <v>46181</v>
      </c>
      <c r="D264" t="s">
        <v>1104</v>
      </c>
      <c r="E264" t="s">
        <v>1094</v>
      </c>
      <c r="F264" s="21" t="s">
        <v>1095</v>
      </c>
      <c r="G264">
        <v>6100305621</v>
      </c>
      <c r="H264" t="s">
        <v>502</v>
      </c>
      <c r="I264" t="s">
        <v>73</v>
      </c>
      <c r="J264" s="56">
        <v>1295.5</v>
      </c>
      <c r="K264" s="56">
        <v>1398.5</v>
      </c>
      <c r="L264">
        <v>2</v>
      </c>
      <c r="M264" t="s">
        <v>503</v>
      </c>
      <c r="N264" t="s">
        <v>148</v>
      </c>
      <c r="O264" t="s">
        <v>50</v>
      </c>
      <c r="P264" t="s">
        <v>150</v>
      </c>
      <c r="Q264" t="s">
        <v>1096</v>
      </c>
      <c r="R264" t="s">
        <v>1097</v>
      </c>
      <c r="S264" t="s">
        <v>61</v>
      </c>
      <c r="U264" t="s">
        <v>53</v>
      </c>
      <c r="V264" t="s">
        <v>53</v>
      </c>
      <c r="W264" t="s">
        <v>54</v>
      </c>
      <c r="X264" s="22">
        <v>8257</v>
      </c>
      <c r="Y264" s="21" t="s">
        <v>55</v>
      </c>
    </row>
    <row r="265" spans="1:25" hidden="1" x14ac:dyDescent="0.25">
      <c r="A265" t="s">
        <v>64</v>
      </c>
      <c r="B265" s="20">
        <v>46178</v>
      </c>
      <c r="C265" s="20">
        <v>46181</v>
      </c>
      <c r="D265" t="s">
        <v>1104</v>
      </c>
      <c r="E265" t="s">
        <v>1098</v>
      </c>
      <c r="F265" s="21" t="s">
        <v>1099</v>
      </c>
      <c r="G265">
        <v>6100305622</v>
      </c>
      <c r="H265" t="s">
        <v>676</v>
      </c>
      <c r="I265" t="s">
        <v>74</v>
      </c>
      <c r="J265" s="56">
        <v>1230.5</v>
      </c>
      <c r="K265" s="56">
        <v>1281.5</v>
      </c>
      <c r="L265">
        <v>2</v>
      </c>
      <c r="M265" t="s">
        <v>404</v>
      </c>
      <c r="N265" t="s">
        <v>148</v>
      </c>
      <c r="O265" t="s">
        <v>50</v>
      </c>
      <c r="S265" t="s">
        <v>61</v>
      </c>
      <c r="U265" t="s">
        <v>53</v>
      </c>
      <c r="V265" t="s">
        <v>53</v>
      </c>
      <c r="W265" t="s">
        <v>54</v>
      </c>
      <c r="X265" s="22">
        <v>8268</v>
      </c>
      <c r="Y265" s="21" t="s">
        <v>55</v>
      </c>
    </row>
    <row r="266" spans="1:25" hidden="1" x14ac:dyDescent="0.25">
      <c r="A266" t="s">
        <v>65</v>
      </c>
      <c r="B266" s="20">
        <v>46178</v>
      </c>
      <c r="C266" s="20">
        <v>46183</v>
      </c>
      <c r="D266" t="s">
        <v>1104</v>
      </c>
      <c r="E266" t="s">
        <v>1100</v>
      </c>
      <c r="F266" s="21" t="s">
        <v>1101</v>
      </c>
      <c r="G266">
        <v>6100305623</v>
      </c>
      <c r="H266" t="s">
        <v>222</v>
      </c>
      <c r="I266" t="s">
        <v>68</v>
      </c>
      <c r="J266" s="56">
        <v>4597</v>
      </c>
      <c r="K266" s="56">
        <v>4980</v>
      </c>
      <c r="L266">
        <v>7</v>
      </c>
      <c r="M266" t="s">
        <v>216</v>
      </c>
      <c r="N266" t="s">
        <v>148</v>
      </c>
      <c r="O266" t="s">
        <v>50</v>
      </c>
      <c r="P266" t="s">
        <v>106</v>
      </c>
      <c r="Q266" t="s">
        <v>949</v>
      </c>
      <c r="R266" t="s">
        <v>223</v>
      </c>
      <c r="S266" t="s">
        <v>61</v>
      </c>
      <c r="U266" t="s">
        <v>53</v>
      </c>
      <c r="V266" t="s">
        <v>53</v>
      </c>
      <c r="W266" t="s">
        <v>54</v>
      </c>
      <c r="X266" s="22">
        <v>8263</v>
      </c>
      <c r="Y266" s="21" t="s">
        <v>55</v>
      </c>
    </row>
    <row r="267" spans="1:25" hidden="1" x14ac:dyDescent="0.25">
      <c r="B267" s="20">
        <v>46178</v>
      </c>
      <c r="C267" s="20">
        <v>46183</v>
      </c>
      <c r="D267" t="s">
        <v>1104</v>
      </c>
      <c r="E267" t="s">
        <v>1102</v>
      </c>
      <c r="F267" s="21" t="s">
        <v>1103</v>
      </c>
      <c r="G267">
        <v>6100305623</v>
      </c>
      <c r="H267" t="s">
        <v>222</v>
      </c>
      <c r="I267" t="s">
        <v>240</v>
      </c>
      <c r="J267" s="56">
        <v>13141.58</v>
      </c>
      <c r="K267" s="56">
        <v>14107.5</v>
      </c>
      <c r="L267">
        <v>21</v>
      </c>
      <c r="M267" t="s">
        <v>216</v>
      </c>
      <c r="N267" t="s">
        <v>148</v>
      </c>
      <c r="O267" t="s">
        <v>241</v>
      </c>
      <c r="P267" t="s">
        <v>106</v>
      </c>
      <c r="Q267" t="s">
        <v>949</v>
      </c>
      <c r="R267" t="s">
        <v>223</v>
      </c>
      <c r="S267" t="s">
        <v>61</v>
      </c>
      <c r="U267" t="s">
        <v>53</v>
      </c>
      <c r="V267" t="s">
        <v>53</v>
      </c>
      <c r="W267" t="s">
        <v>54</v>
      </c>
      <c r="X267" s="22">
        <v>8265</v>
      </c>
      <c r="Y267" s="21" t="s">
        <v>55</v>
      </c>
    </row>
    <row r="268" spans="1:25" hidden="1" x14ac:dyDescent="0.25">
      <c r="A268" t="s">
        <v>49</v>
      </c>
      <c r="B268" s="20">
        <v>46176</v>
      </c>
      <c r="C268" s="20">
        <v>46181</v>
      </c>
      <c r="D268" t="s">
        <v>1108</v>
      </c>
      <c r="E268" t="s">
        <v>1105</v>
      </c>
      <c r="F268" s="21">
        <v>80717721</v>
      </c>
      <c r="G268" t="s">
        <v>58</v>
      </c>
      <c r="H268" t="s">
        <v>1110</v>
      </c>
      <c r="I268" t="s">
        <v>1106</v>
      </c>
      <c r="J268" s="56">
        <v>8157.1</v>
      </c>
      <c r="K268" s="56">
        <v>8609.5</v>
      </c>
      <c r="L268">
        <v>10</v>
      </c>
      <c r="M268" t="s">
        <v>468</v>
      </c>
      <c r="N268" t="s">
        <v>97</v>
      </c>
      <c r="Q268" t="s">
        <v>51</v>
      </c>
      <c r="R268" t="s">
        <v>469</v>
      </c>
      <c r="U268" t="s">
        <v>53</v>
      </c>
      <c r="V268" t="s">
        <v>53</v>
      </c>
      <c r="W268" t="s">
        <v>54</v>
      </c>
      <c r="X268" s="22">
        <v>8269</v>
      </c>
      <c r="Y268" s="21" t="s">
        <v>55</v>
      </c>
    </row>
    <row r="269" spans="1:25" hidden="1" x14ac:dyDescent="0.25">
      <c r="A269" t="s">
        <v>49</v>
      </c>
      <c r="B269" s="20">
        <v>46178</v>
      </c>
      <c r="C269" s="20">
        <v>46181</v>
      </c>
      <c r="D269" t="s">
        <v>1109</v>
      </c>
      <c r="E269" t="s">
        <v>1107</v>
      </c>
      <c r="F269" s="21">
        <v>80717723</v>
      </c>
      <c r="G269" t="s">
        <v>58</v>
      </c>
      <c r="H269" t="s">
        <v>1110</v>
      </c>
      <c r="I269" t="s">
        <v>1106</v>
      </c>
      <c r="J269" s="56">
        <v>8219.6</v>
      </c>
      <c r="K269" s="56">
        <v>8656.5</v>
      </c>
      <c r="L269">
        <v>10</v>
      </c>
      <c r="M269" t="s">
        <v>468</v>
      </c>
      <c r="N269" t="s">
        <v>97</v>
      </c>
      <c r="Q269" t="s">
        <v>51</v>
      </c>
      <c r="R269" t="s">
        <v>469</v>
      </c>
      <c r="S269" t="s">
        <v>946</v>
      </c>
      <c r="T269" t="s">
        <v>255</v>
      </c>
      <c r="U269" t="s">
        <v>53</v>
      </c>
      <c r="V269" t="s">
        <v>53</v>
      </c>
      <c r="W269" t="s">
        <v>54</v>
      </c>
      <c r="X269" s="22">
        <v>8267</v>
      </c>
      <c r="Y269" s="21" t="s">
        <v>55</v>
      </c>
    </row>
    <row r="270" spans="1:25" x14ac:dyDescent="0.25">
      <c r="A270" t="s">
        <v>49</v>
      </c>
      <c r="B270" s="20">
        <v>46183</v>
      </c>
      <c r="C270" s="20">
        <v>46183</v>
      </c>
      <c r="D270" t="s">
        <v>1122</v>
      </c>
      <c r="E270" t="s">
        <v>1111</v>
      </c>
      <c r="F270" s="21" t="s">
        <v>1112</v>
      </c>
      <c r="G270">
        <v>6100306699</v>
      </c>
      <c r="H270" t="s">
        <v>462</v>
      </c>
      <c r="I270" t="s">
        <v>67</v>
      </c>
      <c r="J270" s="56">
        <v>1296.4000000000001</v>
      </c>
      <c r="K270" s="56">
        <v>1401</v>
      </c>
      <c r="L270">
        <v>2</v>
      </c>
      <c r="M270" t="s">
        <v>248</v>
      </c>
      <c r="N270" t="s">
        <v>97</v>
      </c>
      <c r="O270" t="s">
        <v>56</v>
      </c>
      <c r="P270" t="s">
        <v>98</v>
      </c>
      <c r="Q270" t="s">
        <v>1113</v>
      </c>
      <c r="R270" t="s">
        <v>464</v>
      </c>
      <c r="S270" t="s">
        <v>63</v>
      </c>
      <c r="U270" t="s">
        <v>53</v>
      </c>
    </row>
    <row r="271" spans="1:25" x14ac:dyDescent="0.25">
      <c r="B271" s="20">
        <v>46183</v>
      </c>
      <c r="C271" s="20">
        <v>46183</v>
      </c>
      <c r="D271" t="s">
        <v>1122</v>
      </c>
      <c r="E271" t="s">
        <v>1114</v>
      </c>
      <c r="F271" s="21" t="s">
        <v>1115</v>
      </c>
      <c r="G271">
        <v>6100306699</v>
      </c>
      <c r="H271" t="s">
        <v>462</v>
      </c>
      <c r="I271" t="s">
        <v>1116</v>
      </c>
      <c r="J271">
        <v>475.88</v>
      </c>
      <c r="K271">
        <v>565</v>
      </c>
      <c r="L271">
        <v>1</v>
      </c>
      <c r="M271" t="s">
        <v>248</v>
      </c>
      <c r="N271" t="s">
        <v>97</v>
      </c>
      <c r="O271" t="s">
        <v>56</v>
      </c>
      <c r="P271" t="s">
        <v>98</v>
      </c>
      <c r="Q271" t="s">
        <v>1113</v>
      </c>
      <c r="R271" t="s">
        <v>464</v>
      </c>
      <c r="S271" t="s">
        <v>63</v>
      </c>
      <c r="U271" t="s">
        <v>53</v>
      </c>
    </row>
    <row r="272" spans="1:25" x14ac:dyDescent="0.25">
      <c r="A272" t="s">
        <v>60</v>
      </c>
      <c r="B272" s="20">
        <v>46183</v>
      </c>
      <c r="C272" s="20">
        <v>46183</v>
      </c>
      <c r="D272" t="s">
        <v>1122</v>
      </c>
      <c r="E272" t="s">
        <v>1117</v>
      </c>
      <c r="F272" s="21" t="s">
        <v>1118</v>
      </c>
      <c r="G272">
        <v>6100306850</v>
      </c>
      <c r="H272" t="s">
        <v>435</v>
      </c>
      <c r="I272" t="s">
        <v>74</v>
      </c>
      <c r="J272" s="56">
        <v>2460</v>
      </c>
      <c r="K272" s="56">
        <v>2566</v>
      </c>
      <c r="L272">
        <v>4</v>
      </c>
      <c r="M272" t="s">
        <v>436</v>
      </c>
      <c r="N272" t="s">
        <v>97</v>
      </c>
      <c r="O272" t="s">
        <v>50</v>
      </c>
      <c r="P272" t="s">
        <v>150</v>
      </c>
      <c r="Q272" t="s">
        <v>928</v>
      </c>
      <c r="R272" t="s">
        <v>438</v>
      </c>
      <c r="S272" t="s">
        <v>63</v>
      </c>
      <c r="U272" t="s">
        <v>53</v>
      </c>
    </row>
    <row r="273" spans="1:21" x14ac:dyDescent="0.25">
      <c r="A273" t="s">
        <v>64</v>
      </c>
      <c r="B273" s="20">
        <v>46183</v>
      </c>
      <c r="C273" s="20">
        <v>46183</v>
      </c>
      <c r="D273" t="s">
        <v>1122</v>
      </c>
      <c r="E273" t="s">
        <v>1119</v>
      </c>
      <c r="F273" s="21" t="s">
        <v>1120</v>
      </c>
      <c r="G273">
        <v>6100306851</v>
      </c>
      <c r="H273" t="s">
        <v>699</v>
      </c>
      <c r="I273" t="s">
        <v>73</v>
      </c>
      <c r="J273" s="56">
        <v>5195</v>
      </c>
      <c r="K273" s="56">
        <v>5630.5</v>
      </c>
      <c r="L273">
        <v>8</v>
      </c>
      <c r="M273" t="s">
        <v>700</v>
      </c>
      <c r="N273" t="s">
        <v>97</v>
      </c>
      <c r="O273" t="s">
        <v>50</v>
      </c>
      <c r="P273" t="s">
        <v>150</v>
      </c>
      <c r="Q273" t="s">
        <v>1121</v>
      </c>
      <c r="R273" t="s">
        <v>702</v>
      </c>
      <c r="S273" t="s">
        <v>63</v>
      </c>
      <c r="U273" t="s">
        <v>53</v>
      </c>
    </row>
    <row r="274" spans="1:21" x14ac:dyDescent="0.25">
      <c r="A274" t="s">
        <v>49</v>
      </c>
      <c r="B274" s="20">
        <v>46183</v>
      </c>
      <c r="C274" s="20">
        <v>46183</v>
      </c>
      <c r="D274" t="s">
        <v>1127</v>
      </c>
      <c r="E274" t="s">
        <v>1123</v>
      </c>
      <c r="F274" s="21" t="s">
        <v>1124</v>
      </c>
      <c r="G274">
        <v>6100306852</v>
      </c>
      <c r="H274" t="s">
        <v>174</v>
      </c>
      <c r="I274" t="s">
        <v>122</v>
      </c>
      <c r="J274" s="56">
        <v>9720.7999999999993</v>
      </c>
      <c r="K274" s="56">
        <v>10733.5</v>
      </c>
      <c r="L274">
        <v>20</v>
      </c>
      <c r="M274" t="s">
        <v>175</v>
      </c>
      <c r="N274" t="s">
        <v>97</v>
      </c>
      <c r="O274" t="s">
        <v>69</v>
      </c>
      <c r="P274" t="s">
        <v>106</v>
      </c>
      <c r="Q274" t="s">
        <v>949</v>
      </c>
      <c r="R274" t="s">
        <v>176</v>
      </c>
      <c r="S274" t="s">
        <v>61</v>
      </c>
      <c r="U274" t="s">
        <v>53</v>
      </c>
    </row>
    <row r="275" spans="1:21" x14ac:dyDescent="0.25">
      <c r="B275" s="20">
        <v>46183</v>
      </c>
      <c r="C275" s="20">
        <v>46183</v>
      </c>
      <c r="D275" t="s">
        <v>1127</v>
      </c>
      <c r="E275" t="s">
        <v>1125</v>
      </c>
      <c r="F275" s="21" t="s">
        <v>1126</v>
      </c>
      <c r="G275">
        <v>6100306852</v>
      </c>
      <c r="H275" t="s">
        <v>174</v>
      </c>
      <c r="I275" t="s">
        <v>116</v>
      </c>
      <c r="J275" s="56">
        <v>7447.52</v>
      </c>
      <c r="K275" s="56">
        <v>8033.32</v>
      </c>
      <c r="L275">
        <v>17</v>
      </c>
      <c r="M275" t="s">
        <v>175</v>
      </c>
      <c r="N275" t="s">
        <v>97</v>
      </c>
      <c r="O275" t="s">
        <v>117</v>
      </c>
      <c r="P275" t="s">
        <v>106</v>
      </c>
      <c r="Q275" t="s">
        <v>949</v>
      </c>
      <c r="R275" t="s">
        <v>176</v>
      </c>
      <c r="S275" t="s">
        <v>61</v>
      </c>
      <c r="U275" t="s">
        <v>53</v>
      </c>
    </row>
    <row r="276" spans="1:21" x14ac:dyDescent="0.25">
      <c r="A276" t="s">
        <v>49</v>
      </c>
      <c r="B276" s="20">
        <v>46183</v>
      </c>
      <c r="C276" s="20">
        <v>46185</v>
      </c>
      <c r="D276" t="s">
        <v>1134</v>
      </c>
      <c r="E276" t="s">
        <v>1128</v>
      </c>
      <c r="F276" s="21" t="s">
        <v>1129</v>
      </c>
      <c r="G276">
        <v>6100306853</v>
      </c>
      <c r="H276" t="s">
        <v>307</v>
      </c>
      <c r="I276" t="s">
        <v>183</v>
      </c>
      <c r="J276" s="56">
        <v>5963.94</v>
      </c>
      <c r="K276" s="56">
        <v>6378</v>
      </c>
      <c r="L276">
        <v>11</v>
      </c>
      <c r="M276" t="s">
        <v>309</v>
      </c>
      <c r="N276" t="s">
        <v>302</v>
      </c>
      <c r="O276" t="s">
        <v>184</v>
      </c>
      <c r="P276" t="s">
        <v>106</v>
      </c>
      <c r="Q276" t="s">
        <v>1036</v>
      </c>
      <c r="R276" t="s">
        <v>1037</v>
      </c>
      <c r="S276" t="s">
        <v>61</v>
      </c>
      <c r="U276" t="s">
        <v>53</v>
      </c>
    </row>
    <row r="277" spans="1:21" x14ac:dyDescent="0.25">
      <c r="B277" s="20">
        <v>46183</v>
      </c>
      <c r="C277" s="20">
        <v>46185</v>
      </c>
      <c r="D277" t="s">
        <v>1134</v>
      </c>
      <c r="E277" t="s">
        <v>1130</v>
      </c>
      <c r="F277" s="21" t="s">
        <v>1131</v>
      </c>
      <c r="G277">
        <v>6100306853</v>
      </c>
      <c r="H277" t="s">
        <v>307</v>
      </c>
      <c r="I277" t="s">
        <v>68</v>
      </c>
      <c r="J277" s="56">
        <v>9854.5</v>
      </c>
      <c r="K277" s="56">
        <v>10691</v>
      </c>
      <c r="L277">
        <v>15</v>
      </c>
      <c r="M277" t="s">
        <v>309</v>
      </c>
      <c r="N277" t="s">
        <v>302</v>
      </c>
      <c r="O277" t="s">
        <v>50</v>
      </c>
      <c r="P277" t="s">
        <v>106</v>
      </c>
      <c r="Q277" t="s">
        <v>1036</v>
      </c>
      <c r="R277" t="s">
        <v>1037</v>
      </c>
      <c r="S277" t="s">
        <v>61</v>
      </c>
      <c r="U277" t="s">
        <v>53</v>
      </c>
    </row>
    <row r="278" spans="1:21" x14ac:dyDescent="0.25">
      <c r="B278" s="20">
        <v>46183</v>
      </c>
      <c r="C278" s="20">
        <v>46185</v>
      </c>
      <c r="D278" t="s">
        <v>1134</v>
      </c>
      <c r="E278" t="s">
        <v>1132</v>
      </c>
      <c r="F278" s="21" t="s">
        <v>1133</v>
      </c>
      <c r="G278">
        <v>6100306853</v>
      </c>
      <c r="H278" t="s">
        <v>307</v>
      </c>
      <c r="I278" t="s">
        <v>232</v>
      </c>
      <c r="J278">
        <v>729.28</v>
      </c>
      <c r="K278">
        <v>768</v>
      </c>
      <c r="L278">
        <v>1</v>
      </c>
      <c r="M278" t="s">
        <v>309</v>
      </c>
      <c r="N278" t="s">
        <v>302</v>
      </c>
      <c r="O278" t="s">
        <v>233</v>
      </c>
      <c r="P278" t="s">
        <v>106</v>
      </c>
      <c r="Q278" t="s">
        <v>1036</v>
      </c>
      <c r="R278" t="s">
        <v>1037</v>
      </c>
      <c r="S278" t="s">
        <v>61</v>
      </c>
      <c r="U278" t="s">
        <v>53</v>
      </c>
    </row>
    <row r="279" spans="1:21" x14ac:dyDescent="0.25">
      <c r="A279" t="s">
        <v>49</v>
      </c>
      <c r="B279" s="20">
        <v>46183</v>
      </c>
      <c r="C279" s="20">
        <v>46184</v>
      </c>
      <c r="D279" t="s">
        <v>1139</v>
      </c>
      <c r="E279" t="s">
        <v>1135</v>
      </c>
      <c r="F279" s="21" t="s">
        <v>1136</v>
      </c>
      <c r="G279">
        <v>6100306854</v>
      </c>
      <c r="H279" t="s">
        <v>222</v>
      </c>
      <c r="I279" t="s">
        <v>232</v>
      </c>
      <c r="J279">
        <v>716</v>
      </c>
      <c r="K279">
        <v>757.12</v>
      </c>
      <c r="L279">
        <v>1</v>
      </c>
      <c r="M279" t="s">
        <v>216</v>
      </c>
      <c r="N279" t="s">
        <v>148</v>
      </c>
      <c r="O279" t="s">
        <v>233</v>
      </c>
      <c r="P279" t="s">
        <v>106</v>
      </c>
      <c r="Q279" t="s">
        <v>118</v>
      </c>
      <c r="R279" t="s">
        <v>223</v>
      </c>
      <c r="S279" t="s">
        <v>63</v>
      </c>
      <c r="U279" t="s">
        <v>53</v>
      </c>
    </row>
    <row r="280" spans="1:21" x14ac:dyDescent="0.25">
      <c r="B280" s="20">
        <v>46183</v>
      </c>
      <c r="C280" s="20">
        <v>46184</v>
      </c>
      <c r="D280" t="s">
        <v>1139</v>
      </c>
      <c r="E280" t="s">
        <v>1137</v>
      </c>
      <c r="F280" s="21" t="s">
        <v>1138</v>
      </c>
      <c r="G280">
        <v>6100306854</v>
      </c>
      <c r="H280" t="s">
        <v>222</v>
      </c>
      <c r="I280" t="s">
        <v>122</v>
      </c>
      <c r="J280" s="56">
        <v>9741.7999999999993</v>
      </c>
      <c r="K280" s="56">
        <v>10716.5</v>
      </c>
      <c r="L280">
        <v>20</v>
      </c>
      <c r="M280" t="s">
        <v>216</v>
      </c>
      <c r="N280" t="s">
        <v>148</v>
      </c>
      <c r="O280" t="s">
        <v>69</v>
      </c>
      <c r="P280" t="s">
        <v>106</v>
      </c>
      <c r="Q280" t="s">
        <v>949</v>
      </c>
      <c r="R280" t="s">
        <v>223</v>
      </c>
      <c r="S280" t="s">
        <v>63</v>
      </c>
      <c r="U280" t="s">
        <v>53</v>
      </c>
    </row>
    <row r="281" spans="1:21" x14ac:dyDescent="0.25">
      <c r="A281" t="s">
        <v>49</v>
      </c>
      <c r="B281" s="20">
        <v>46183</v>
      </c>
      <c r="C281" s="20">
        <v>46184</v>
      </c>
      <c r="D281" t="s">
        <v>1148</v>
      </c>
      <c r="E281" t="s">
        <v>1140</v>
      </c>
      <c r="F281" s="21" t="s">
        <v>1141</v>
      </c>
      <c r="G281">
        <v>6100306855</v>
      </c>
      <c r="H281" t="s">
        <v>1151</v>
      </c>
      <c r="I281" t="s">
        <v>74</v>
      </c>
      <c r="J281" s="56">
        <v>13614.5</v>
      </c>
      <c r="K281" s="56">
        <v>14182</v>
      </c>
      <c r="L281">
        <v>22</v>
      </c>
      <c r="M281" t="s">
        <v>1142</v>
      </c>
      <c r="N281" t="s">
        <v>97</v>
      </c>
      <c r="O281" t="s">
        <v>50</v>
      </c>
      <c r="Q281" t="s">
        <v>1143</v>
      </c>
      <c r="R281" t="s">
        <v>1144</v>
      </c>
    </row>
    <row r="282" spans="1:21" x14ac:dyDescent="0.25">
      <c r="A282" t="s">
        <v>60</v>
      </c>
      <c r="B282" s="20">
        <v>46183</v>
      </c>
      <c r="C282" s="20">
        <v>46185</v>
      </c>
      <c r="D282" t="s">
        <v>1148</v>
      </c>
      <c r="E282" t="s">
        <v>1145</v>
      </c>
      <c r="F282" s="21" t="s">
        <v>1146</v>
      </c>
      <c r="G282">
        <v>6100306856</v>
      </c>
      <c r="H282" t="s">
        <v>1147</v>
      </c>
      <c r="I282" t="s">
        <v>370</v>
      </c>
      <c r="J282" s="56">
        <v>4881.8</v>
      </c>
      <c r="K282" s="56">
        <v>5791</v>
      </c>
      <c r="L282">
        <v>10</v>
      </c>
      <c r="M282" t="s">
        <v>371</v>
      </c>
      <c r="N282" t="s">
        <v>193</v>
      </c>
      <c r="O282" t="s">
        <v>50</v>
      </c>
      <c r="P282" t="s">
        <v>325</v>
      </c>
      <c r="Q282" t="s">
        <v>51</v>
      </c>
      <c r="R282" t="s">
        <v>372</v>
      </c>
    </row>
    <row r="283" spans="1:21" x14ac:dyDescent="0.25">
      <c r="A283" t="s">
        <v>64</v>
      </c>
      <c r="B283" s="20">
        <v>46183</v>
      </c>
      <c r="C283" s="20">
        <v>46185</v>
      </c>
      <c r="D283" t="s">
        <v>1148</v>
      </c>
      <c r="E283" t="s">
        <v>1149</v>
      </c>
      <c r="F283" s="21" t="s">
        <v>1150</v>
      </c>
      <c r="G283">
        <v>6100306857</v>
      </c>
      <c r="H283" t="s">
        <v>447</v>
      </c>
      <c r="I283" t="s">
        <v>448</v>
      </c>
      <c r="J283">
        <v>1577.92</v>
      </c>
      <c r="K283" s="56">
        <v>1748.5</v>
      </c>
      <c r="L283">
        <v>2</v>
      </c>
      <c r="M283" t="s">
        <v>449</v>
      </c>
      <c r="N283" t="s">
        <v>193</v>
      </c>
      <c r="O283" t="s">
        <v>450</v>
      </c>
      <c r="P283" t="s">
        <v>150</v>
      </c>
      <c r="Q283" t="s">
        <v>996</v>
      </c>
      <c r="R283" t="s">
        <v>58</v>
      </c>
    </row>
  </sheetData>
  <conditionalFormatting sqref="B2:B283">
    <cfRule type="cellIs" dxfId="11" priority="173" operator="notEqual">
      <formula>""</formula>
    </cfRule>
  </conditionalFormatting>
  <conditionalFormatting sqref="C2:C283">
    <cfRule type="cellIs" dxfId="10" priority="172" operator="notEqual">
      <formula>""</formula>
    </cfRule>
  </conditionalFormatting>
  <conditionalFormatting sqref="D2:D283">
    <cfRule type="expression" dxfId="9" priority="132">
      <formula>Y2=""</formula>
    </cfRule>
  </conditionalFormatting>
  <conditionalFormatting sqref="E1:E1048576">
    <cfRule type="duplicateValues" dxfId="8" priority="5"/>
  </conditionalFormatting>
  <conditionalFormatting sqref="F1:F1048576">
    <cfRule type="duplicateValues" dxfId="7" priority="7442"/>
  </conditionalFormatting>
  <conditionalFormatting sqref="T2:W283">
    <cfRule type="cellIs" dxfId="6" priority="118" operator="equal">
      <formula>"VIDE OBS &gt;&gt;&gt;"</formula>
    </cfRule>
  </conditionalFormatting>
  <conditionalFormatting sqref="T2:Z283">
    <cfRule type="cellIs" dxfId="5" priority="92" operator="equal">
      <formula>""</formula>
    </cfRule>
  </conditionalFormatting>
  <conditionalFormatting sqref="U2:V283">
    <cfRule type="cellIs" dxfId="4" priority="168" operator="equal">
      <formula>"Enviado"</formula>
    </cfRule>
  </conditionalFormatting>
  <conditionalFormatting sqref="W2:W283">
    <cfRule type="cellIs" dxfId="3" priority="163" operator="equal">
      <formula>"FATURADO"</formula>
    </cfRule>
  </conditionalFormatting>
  <conditionalFormatting sqref="X2:X283">
    <cfRule type="cellIs" dxfId="2" priority="1" operator="notEqual">
      <formula>""</formula>
    </cfRule>
  </conditionalFormatting>
  <conditionalFormatting sqref="Y2:Y283">
    <cfRule type="cellIs" dxfId="1" priority="113" operator="equal">
      <formula>"VIDE OBS &gt;&gt;&gt;"</formula>
    </cfRule>
    <cfRule type="cellIs" dxfId="0" priority="114" operator="equal">
      <formula>"RECEBIDO"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867602D-BF3E-4E17-AD5E-48BAFD402519}">
          <x14:formula1>
            <xm:f>Base!$B$2:$B$10</xm:f>
          </x14:formula1>
          <xm:sqref>T1</xm:sqref>
        </x14:dataValidation>
        <x14:dataValidation type="list" allowBlank="1" showInputMessage="1" showErrorMessage="1" xr:uid="{C55D5F9E-9A31-493B-842B-DD6E7A88F425}">
          <x14:formula1>
            <xm:f>Base!$D$2:$D$3</xm:f>
          </x14:formula1>
          <xm:sqref>U2:V283</xm:sqref>
        </x14:dataValidation>
        <x14:dataValidation type="list" allowBlank="1" showInputMessage="1" showErrorMessage="1" xr:uid="{216B3DCC-56E4-4D10-BC45-46B8FD07D706}">
          <x14:formula1>
            <xm:f>Base!$H$2:$H$3</xm:f>
          </x14:formula1>
          <xm:sqref>Y2:Y283</xm:sqref>
        </x14:dataValidation>
        <x14:dataValidation type="list" allowBlank="1" showInputMessage="1" showErrorMessage="1" xr:uid="{5013FC00-B21B-4979-94FF-FD4DCCDD0A13}">
          <x14:formula1>
            <xm:f>Base!$G$2:$G$3</xm:f>
          </x14:formula1>
          <xm:sqref>W2:W283</xm:sqref>
        </x14:dataValidation>
        <x14:dataValidation type="list" allowBlank="1" showInputMessage="1" showErrorMessage="1" xr:uid="{7DCBD465-18DD-43CB-B2A7-70A9D7257368}">
          <x14:formula1>
            <xm:f>Base!$F$2:$F$9</xm:f>
          </x14:formula1>
          <xm:sqref>A2:A283</xm:sqref>
        </x14:dataValidation>
        <x14:dataValidation type="list" allowBlank="1" showInputMessage="1" showErrorMessage="1" xr:uid="{FF325460-B997-4A73-8819-22363D105EBE}">
          <x14:formula1>
            <xm:f>Base!$B$2:$B$35</xm:f>
          </x14:formula1>
          <xm:sqref>T2:T283</xm:sqref>
        </x14:dataValidation>
        <x14:dataValidation type="list" allowBlank="1" showInputMessage="1" showErrorMessage="1" xr:uid="{2AA0C940-34BB-4408-B4DE-D5DB3EBF8DB6}">
          <x14:formula1>
            <xm:f>Base!$A$2:$A$20</xm:f>
          </x14:formula1>
          <xm:sqref>S1:S1048576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8BCF-88F8-4FE5-94CB-B2D65C2D7C5C}">
  <sheetPr codeName="Planilha3"/>
  <dimension ref="A1:H34"/>
  <sheetViews>
    <sheetView topLeftCell="A7" workbookViewId="0">
      <selection activeCell="A20" sqref="A20"/>
    </sheetView>
  </sheetViews>
  <sheetFormatPr defaultRowHeight="15" x14ac:dyDescent="0.25"/>
  <cols>
    <col min="1" max="1" width="29.85546875" customWidth="1"/>
    <col min="3" max="3" width="22.85546875" customWidth="1"/>
    <col min="4" max="4" width="12.42578125" bestFit="1" customWidth="1"/>
    <col min="7" max="8" width="12.42578125" bestFit="1" customWidth="1"/>
  </cols>
  <sheetData>
    <row r="1" spans="1:8" x14ac:dyDescent="0.25">
      <c r="A1" t="s">
        <v>79</v>
      </c>
      <c r="B1" t="s">
        <v>80</v>
      </c>
      <c r="D1" t="s">
        <v>81</v>
      </c>
      <c r="E1" t="s">
        <v>82</v>
      </c>
      <c r="F1" t="s">
        <v>3</v>
      </c>
      <c r="G1" t="s">
        <v>83</v>
      </c>
      <c r="H1" t="s">
        <v>84</v>
      </c>
    </row>
    <row r="2" spans="1:8" x14ac:dyDescent="0.25">
      <c r="A2" t="s">
        <v>63</v>
      </c>
      <c r="B2" t="s">
        <v>85</v>
      </c>
      <c r="D2" t="s">
        <v>53</v>
      </c>
      <c r="F2" t="s">
        <v>49</v>
      </c>
      <c r="G2" t="s">
        <v>54</v>
      </c>
      <c r="H2" t="s">
        <v>55</v>
      </c>
    </row>
    <row r="3" spans="1:8" x14ac:dyDescent="0.25">
      <c r="A3" t="s">
        <v>77</v>
      </c>
      <c r="B3" t="s">
        <v>251</v>
      </c>
      <c r="D3" t="s">
        <v>78</v>
      </c>
      <c r="F3" t="s">
        <v>60</v>
      </c>
      <c r="G3" t="s">
        <v>78</v>
      </c>
      <c r="H3" t="s">
        <v>78</v>
      </c>
    </row>
    <row r="4" spans="1:8" x14ac:dyDescent="0.25">
      <c r="A4" t="s">
        <v>86</v>
      </c>
      <c r="B4" t="s">
        <v>252</v>
      </c>
      <c r="F4" t="s">
        <v>64</v>
      </c>
    </row>
    <row r="5" spans="1:8" x14ac:dyDescent="0.25">
      <c r="A5" t="s">
        <v>66</v>
      </c>
      <c r="B5" t="s">
        <v>253</v>
      </c>
      <c r="F5" t="s">
        <v>65</v>
      </c>
    </row>
    <row r="6" spans="1:8" x14ac:dyDescent="0.25">
      <c r="A6" t="s">
        <v>76</v>
      </c>
      <c r="B6" t="s">
        <v>254</v>
      </c>
      <c r="F6" t="s">
        <v>71</v>
      </c>
    </row>
    <row r="7" spans="1:8" x14ac:dyDescent="0.25">
      <c r="A7" t="s">
        <v>87</v>
      </c>
      <c r="B7" t="s">
        <v>255</v>
      </c>
      <c r="F7" t="s">
        <v>88</v>
      </c>
    </row>
    <row r="8" spans="1:8" x14ac:dyDescent="0.25">
      <c r="A8" t="s">
        <v>61</v>
      </c>
      <c r="B8" t="s">
        <v>256</v>
      </c>
      <c r="F8" t="s">
        <v>89</v>
      </c>
    </row>
    <row r="9" spans="1:8" x14ac:dyDescent="0.25">
      <c r="A9" t="s">
        <v>90</v>
      </c>
      <c r="B9" t="s">
        <v>257</v>
      </c>
      <c r="F9" t="s">
        <v>91</v>
      </c>
    </row>
    <row r="10" spans="1:8" x14ac:dyDescent="0.25">
      <c r="A10" t="s">
        <v>52</v>
      </c>
      <c r="B10" t="s">
        <v>258</v>
      </c>
    </row>
    <row r="11" spans="1:8" x14ac:dyDescent="0.25">
      <c r="A11" t="s">
        <v>95</v>
      </c>
      <c r="B11" t="s">
        <v>259</v>
      </c>
    </row>
    <row r="12" spans="1:8" x14ac:dyDescent="0.25">
      <c r="A12" t="s">
        <v>72</v>
      </c>
      <c r="B12" t="s">
        <v>260</v>
      </c>
    </row>
    <row r="13" spans="1:8" x14ac:dyDescent="0.25">
      <c r="A13" t="s">
        <v>57</v>
      </c>
      <c r="B13" t="s">
        <v>261</v>
      </c>
    </row>
    <row r="14" spans="1:8" x14ac:dyDescent="0.25">
      <c r="A14" t="s">
        <v>92</v>
      </c>
      <c r="B14" t="s">
        <v>262</v>
      </c>
    </row>
    <row r="15" spans="1:8" x14ac:dyDescent="0.25">
      <c r="A15" t="s">
        <v>59</v>
      </c>
      <c r="B15" t="s">
        <v>263</v>
      </c>
    </row>
    <row r="16" spans="1:8" x14ac:dyDescent="0.25">
      <c r="A16" t="s">
        <v>70</v>
      </c>
      <c r="B16" t="s">
        <v>264</v>
      </c>
    </row>
    <row r="17" spans="1:2" x14ac:dyDescent="0.25">
      <c r="A17" t="s">
        <v>93</v>
      </c>
      <c r="B17" t="s">
        <v>265</v>
      </c>
    </row>
    <row r="18" spans="1:2" x14ac:dyDescent="0.25">
      <c r="A18" t="s">
        <v>62</v>
      </c>
      <c r="B18" t="s">
        <v>266</v>
      </c>
    </row>
    <row r="19" spans="1:2" x14ac:dyDescent="0.25">
      <c r="A19" t="s">
        <v>946</v>
      </c>
      <c r="B19" t="s">
        <v>267</v>
      </c>
    </row>
    <row r="20" spans="1:2" x14ac:dyDescent="0.25">
      <c r="B20" t="s">
        <v>268</v>
      </c>
    </row>
    <row r="21" spans="1:2" x14ac:dyDescent="0.25">
      <c r="B21" t="s">
        <v>269</v>
      </c>
    </row>
    <row r="22" spans="1:2" x14ac:dyDescent="0.25">
      <c r="B22" t="s">
        <v>270</v>
      </c>
    </row>
    <row r="23" spans="1:2" x14ac:dyDescent="0.25">
      <c r="B23" t="s">
        <v>271</v>
      </c>
    </row>
    <row r="24" spans="1:2" x14ac:dyDescent="0.25">
      <c r="B24" t="s">
        <v>272</v>
      </c>
    </row>
    <row r="25" spans="1:2" x14ac:dyDescent="0.25">
      <c r="B25" t="s">
        <v>273</v>
      </c>
    </row>
    <row r="26" spans="1:2" x14ac:dyDescent="0.25">
      <c r="B26" t="s">
        <v>274</v>
      </c>
    </row>
    <row r="27" spans="1:2" x14ac:dyDescent="0.25">
      <c r="B27" t="s">
        <v>275</v>
      </c>
    </row>
    <row r="28" spans="1:2" x14ac:dyDescent="0.25">
      <c r="B28" t="s">
        <v>276</v>
      </c>
    </row>
    <row r="29" spans="1:2" x14ac:dyDescent="0.25">
      <c r="B29" t="s">
        <v>277</v>
      </c>
    </row>
    <row r="30" spans="1:2" x14ac:dyDescent="0.25">
      <c r="B30" t="s">
        <v>278</v>
      </c>
    </row>
    <row r="31" spans="1:2" x14ac:dyDescent="0.25">
      <c r="B31" t="s">
        <v>279</v>
      </c>
    </row>
    <row r="32" spans="1:2" x14ac:dyDescent="0.25">
      <c r="B32" t="s">
        <v>280</v>
      </c>
    </row>
    <row r="33" spans="2:2" x14ac:dyDescent="0.25">
      <c r="B33" t="s">
        <v>281</v>
      </c>
    </row>
    <row r="34" spans="2:2" x14ac:dyDescent="0.25">
      <c r="B34" t="s">
        <v>282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ddee8b-3976-4afe-9035-4d7fecb52470">
      <Terms xmlns="http://schemas.microsoft.com/office/infopath/2007/PartnerControls"/>
    </lcf76f155ced4ddcb4097134ff3c332f>
    <TaxCatchAll xmlns="80bed914-a293-4a44-99f4-a5500fa3692e" xsi:nil="true"/>
    <_Flow_SignoffStatus xmlns="16ddee8b-3976-4afe-9035-4d7fecb52470" xsi:nil="true"/>
    <Question_x00e1_rio xmlns="16ddee8b-3976-4afe-9035-4d7fecb524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61F57BD94A0C4A9F34FAE6B0FE035A" ma:contentTypeVersion="16" ma:contentTypeDescription="Crie um novo documento." ma:contentTypeScope="" ma:versionID="46ccf76cd18f470a973bc480bbce3bbe">
  <xsd:schema xmlns:xsd="http://www.w3.org/2001/XMLSchema" xmlns:xs="http://www.w3.org/2001/XMLSchema" xmlns:p="http://schemas.microsoft.com/office/2006/metadata/properties" xmlns:ns2="16ddee8b-3976-4afe-9035-4d7fecb52470" xmlns:ns3="80bed914-a293-4a44-99f4-a5500fa3692e" targetNamespace="http://schemas.microsoft.com/office/2006/metadata/properties" ma:root="true" ma:fieldsID="e27174dbc5ad6fe404531c518c9cdcac" ns2:_="" ns3:_="">
    <xsd:import namespace="16ddee8b-3976-4afe-9035-4d7fecb52470"/>
    <xsd:import namespace="80bed914-a293-4a44-99f4-a5500fa369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_Flow_SignoffStatus" minOccurs="0"/>
                <xsd:element ref="ns2:Question_x00e1_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dee8b-3976-4afe-9035-4d7fecb52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a73c177b-07bf-480b-88be-2888b3a6f8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Question_x00e1_rio" ma:index="23" nillable="true" ma:displayName="Questionário" ma:format="Dropdown" ma:internalName="Question_x00e1_rio">
      <xsd:simpleType>
        <xsd:restriction base="dms:Choice">
          <xsd:enumeration value="Robson Figueiredo"/>
          <xsd:enumeration value="Pedro Chaingon"/>
          <xsd:enumeration value="Coordenação"/>
          <xsd:enumeration value="Outr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ed914-a293-4a44-99f4-a5500fa3692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8c144-ef36-48ff-b315-ad2838675124}" ma:internalName="TaxCatchAll" ma:showField="CatchAllData" ma:web="80bed914-a293-4a44-99f4-a5500fa36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AD50DD-F127-4E11-A74B-A3E57F165D2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AFA789E-DD4A-49F5-A70E-8CC72817BCD7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16ddee8b-3976-4afe-9035-4d7fecb52470"/>
    <ds:schemaRef ds:uri="http://purl.org/dc/terms/"/>
    <ds:schemaRef ds:uri="http://schemas.openxmlformats.org/package/2006/metadata/core-properties"/>
    <ds:schemaRef ds:uri="http://purl.org/dc/elements/1.1/"/>
    <ds:schemaRef ds:uri="80bed914-a293-4a44-99f4-a5500fa3692e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8E6B042-F481-4C5D-83E5-A9AB234972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ddee8b-3976-4afe-9035-4d7fecb52470"/>
    <ds:schemaRef ds:uri="80bed914-a293-4a44-99f4-a5500fa369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228D98F-E238-473C-A208-F1F1F7D4010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a4c47c-aa74-4bbe-b121-5c440e0a04cf}" enabled="0" method="" siteId="{bda4c47c-aa74-4bbe-b121-5c440e0a04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Ficha de carga</vt:lpstr>
      <vt:lpstr>Dados da carga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Ismael Batista do Nascimento</dc:creator>
  <cp:keywords/>
  <dc:description/>
  <cp:lastModifiedBy>Ismael Batista do Nascimento</cp:lastModifiedBy>
  <cp:revision/>
  <cp:lastPrinted>2026-03-04T19:29:36Z</cp:lastPrinted>
  <dcterms:created xsi:type="dcterms:W3CDTF">2025-06-02T14:50:45Z</dcterms:created>
  <dcterms:modified xsi:type="dcterms:W3CDTF">2026-06-09T13:52:33Z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0x010100AF61F57BD94A0C4A9F34FAE6B0FE035A</vt:lpwstr>
  </property>
</Properties>
</file>